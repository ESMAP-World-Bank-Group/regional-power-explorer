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jhuenteler_worldbank_org/Documents/ECA/GA Power Sector Files &amp; Data/Sector Data/"/>
    </mc:Choice>
  </mc:AlternateContent>
  <xr:revisionPtr revIDLastSave="284" documentId="8_{812163DE-447D-45B3-8916-D5FE09FE6C79}" xr6:coauthVersionLast="47" xr6:coauthVersionMax="47" xr10:uidLastSave="{EF6E68E1-6817-4D76-8470-E176CA5875C3}"/>
  <bookViews>
    <workbookView xWindow="28680" yWindow="-120" windowWidth="29040" windowHeight="15720" activeTab="1" xr2:uid="{00F061B7-F1FE-4824-AE90-7770514A8EE4}"/>
  </bookViews>
  <sheets>
    <sheet name="Installed Capacity" sheetId="3" r:id="rId1"/>
    <sheet name="Pivot" sheetId="5" r:id="rId2"/>
    <sheet name="Power Plant List" sheetId="1" r:id="rId3"/>
    <sheet name="Graphs" sheetId="4" r:id="rId4"/>
  </sheets>
  <definedNames>
    <definedName name="_xlnm._FilterDatabase" localSheetId="2" hidden="1">'Power Plant List'!$A$1:$R$113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S13" i="3" l="1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T13" i="3"/>
</calcChain>
</file>

<file path=xl/sharedStrings.xml><?xml version="1.0" encoding="utf-8"?>
<sst xmlns="http://schemas.openxmlformats.org/spreadsheetml/2006/main" count="590" uniqueCount="229">
  <si>
    <t>Number</t>
  </si>
  <si>
    <t>Type</t>
  </si>
  <si>
    <t>Enguri</t>
  </si>
  <si>
    <t>HPP</t>
  </si>
  <si>
    <t>5x260</t>
  </si>
  <si>
    <t>3x73.33</t>
  </si>
  <si>
    <t>Khrami</t>
  </si>
  <si>
    <t>2x55</t>
  </si>
  <si>
    <t>Shaori</t>
  </si>
  <si>
    <t>4x9.6</t>
  </si>
  <si>
    <t>Dzevrula</t>
  </si>
  <si>
    <t>4x20</t>
  </si>
  <si>
    <t>Jinvali</t>
  </si>
  <si>
    <t>4x32.5</t>
  </si>
  <si>
    <t>Rioni</t>
  </si>
  <si>
    <t>4x12</t>
  </si>
  <si>
    <t>Run-of-River</t>
  </si>
  <si>
    <t>Gumati</t>
  </si>
  <si>
    <t>1958-1956</t>
  </si>
  <si>
    <t>8x23</t>
  </si>
  <si>
    <t>1976-1977</t>
  </si>
  <si>
    <t>Lajanuri</t>
  </si>
  <si>
    <t>3x37.28</t>
  </si>
  <si>
    <t>Zahesi</t>
  </si>
  <si>
    <t>Ortachala</t>
  </si>
  <si>
    <t>3x6</t>
  </si>
  <si>
    <t>Chitakhevi</t>
  </si>
  <si>
    <t>3x7</t>
  </si>
  <si>
    <t>Atshesi</t>
  </si>
  <si>
    <t>2x8</t>
  </si>
  <si>
    <t>Satskhene</t>
  </si>
  <si>
    <t>2x7</t>
  </si>
  <si>
    <t>Khadori</t>
  </si>
  <si>
    <t>2x12+2x1</t>
  </si>
  <si>
    <t>Larsi</t>
  </si>
  <si>
    <t>2x6.5</t>
  </si>
  <si>
    <t>Paravani</t>
  </si>
  <si>
    <t>2x43.27</t>
  </si>
  <si>
    <t>Bjuja</t>
  </si>
  <si>
    <t>3x4.08</t>
  </si>
  <si>
    <t>Tetrikhevi</t>
  </si>
  <si>
    <t>2x6.8</t>
  </si>
  <si>
    <t>Alazani</t>
  </si>
  <si>
    <t>2x2.4</t>
  </si>
  <si>
    <t>Abhesi</t>
  </si>
  <si>
    <t>1x0.888+2x0.56</t>
  </si>
  <si>
    <t>Sioni</t>
  </si>
  <si>
    <t>2x4.57</t>
  </si>
  <si>
    <t>Vartsikhe cascade</t>
  </si>
  <si>
    <t>Vardnili 1</t>
  </si>
  <si>
    <t>Khrami 1</t>
  </si>
  <si>
    <t>Khrami 2</t>
  </si>
  <si>
    <t>4x11+3x7.6</t>
  </si>
  <si>
    <t>3x37.6+1x0.65</t>
  </si>
  <si>
    <t>Year</t>
  </si>
  <si>
    <t>Ritseula</t>
  </si>
  <si>
    <t>Chala</t>
  </si>
  <si>
    <t>1x1.5</t>
  </si>
  <si>
    <t>Chkhori</t>
  </si>
  <si>
    <t>1x2.9+1x2.45</t>
  </si>
  <si>
    <t>Dashbashi</t>
  </si>
  <si>
    <t>3x0.42</t>
  </si>
  <si>
    <t>Mashavera</t>
  </si>
  <si>
    <t>1x0.8</t>
  </si>
  <si>
    <t>Kabala</t>
  </si>
  <si>
    <t>3x0.45</t>
  </si>
  <si>
    <t>Kakhareti</t>
  </si>
  <si>
    <t>2x1.04</t>
  </si>
  <si>
    <t>Martkopi</t>
  </si>
  <si>
    <t>1x3.87</t>
  </si>
  <si>
    <t>Intsoba</t>
  </si>
  <si>
    <t>1x0.6+2x0.6</t>
  </si>
  <si>
    <t>Kazbegi</t>
  </si>
  <si>
    <t>2x0.19</t>
  </si>
  <si>
    <t>Energetiki</t>
  </si>
  <si>
    <t>1x0.59</t>
  </si>
  <si>
    <t>Algeta</t>
  </si>
  <si>
    <t>1x1+1x0.25</t>
  </si>
  <si>
    <t>Matchakhela</t>
  </si>
  <si>
    <t>2x0.8</t>
  </si>
  <si>
    <t>Misaktsieli</t>
  </si>
  <si>
    <t>1x2+1x1</t>
  </si>
  <si>
    <t>Skuri</t>
  </si>
  <si>
    <t>Tiriponi</t>
  </si>
  <si>
    <t>2x1.6</t>
  </si>
  <si>
    <t>Khertvisi</t>
  </si>
  <si>
    <t>2x0.152</t>
  </si>
  <si>
    <t>Kinkisha</t>
  </si>
  <si>
    <t>2x0.452</t>
  </si>
  <si>
    <t>Atchi</t>
  </si>
  <si>
    <t>1x0.74+1x0.288</t>
  </si>
  <si>
    <t>Rustavi</t>
  </si>
  <si>
    <t>Sulori</t>
  </si>
  <si>
    <t>Okami</t>
  </si>
  <si>
    <t>Boldoda</t>
  </si>
  <si>
    <t>Zvareti</t>
  </si>
  <si>
    <t>Pshavela</t>
  </si>
  <si>
    <t>1x2.9</t>
  </si>
  <si>
    <t>2010-2015</t>
  </si>
  <si>
    <t>Igoeti</t>
  </si>
  <si>
    <t>1x0.525+1x1.25</t>
  </si>
  <si>
    <t>Sanalia</t>
  </si>
  <si>
    <t>2x3</t>
  </si>
  <si>
    <t>Khani</t>
  </si>
  <si>
    <t>Racha</t>
  </si>
  <si>
    <t>2x5.5</t>
  </si>
  <si>
    <t>Dagva</t>
  </si>
  <si>
    <t>Shilda</t>
  </si>
  <si>
    <t>2x2.5</t>
  </si>
  <si>
    <t>Bakhvi-3</t>
  </si>
  <si>
    <t>2x4+1x2</t>
  </si>
  <si>
    <t>Pantiani</t>
  </si>
  <si>
    <t>Aragvi</t>
  </si>
  <si>
    <t>2x4.7</t>
  </si>
  <si>
    <t>Akhmeta</t>
  </si>
  <si>
    <t>Kazreti</t>
  </si>
  <si>
    <t>Debeda</t>
  </si>
  <si>
    <t>Shakshaheti</t>
  </si>
  <si>
    <t>1x1.9</t>
  </si>
  <si>
    <t>1x3.816+2x1.296</t>
  </si>
  <si>
    <t>Small HPP</t>
  </si>
  <si>
    <t>Kazbegi 2</t>
  </si>
  <si>
    <t>4x3.2+2x12</t>
  </si>
  <si>
    <t>Number of units</t>
  </si>
  <si>
    <t>Commissioning</t>
  </si>
  <si>
    <t>Capacity (MW)</t>
  </si>
  <si>
    <t>Power Plant</t>
  </si>
  <si>
    <t>Source</t>
  </si>
  <si>
    <t>Maksania</t>
  </si>
  <si>
    <t>1x0.315</t>
  </si>
  <si>
    <t>Dariali</t>
  </si>
  <si>
    <t>3x36</t>
  </si>
  <si>
    <t>Saguramo</t>
  </si>
  <si>
    <t>2x2.25</t>
  </si>
  <si>
    <t>Khelvachauri</t>
  </si>
  <si>
    <t>Marneuli</t>
  </si>
  <si>
    <t>1x0.25</t>
  </si>
  <si>
    <t>Shuakhevi</t>
  </si>
  <si>
    <t>2x89.36</t>
  </si>
  <si>
    <t>Goresha</t>
  </si>
  <si>
    <t>1x0.125</t>
  </si>
  <si>
    <t>Kintrisha</t>
  </si>
  <si>
    <t>2x2.75</t>
  </si>
  <si>
    <t>Nabeglavi</t>
  </si>
  <si>
    <t>2x1</t>
  </si>
  <si>
    <t>Skurididi</t>
  </si>
  <si>
    <t>1x1.33</t>
  </si>
  <si>
    <t>1x1.2</t>
  </si>
  <si>
    <t>Kheor</t>
  </si>
  <si>
    <t>1x1.48</t>
  </si>
  <si>
    <t>Bodorna</t>
  </si>
  <si>
    <t>1x2.5</t>
  </si>
  <si>
    <t>2x4.55</t>
  </si>
  <si>
    <t>1x1.85</t>
  </si>
  <si>
    <t>Kirnati</t>
  </si>
  <si>
    <t>4x12.33+1x1.9</t>
  </si>
  <si>
    <t>3x7.13</t>
  </si>
  <si>
    <t>1x1.95</t>
  </si>
  <si>
    <t>2x10</t>
  </si>
  <si>
    <t>3x10</t>
  </si>
  <si>
    <t>Avani</t>
  </si>
  <si>
    <t>2x1.75</t>
  </si>
  <si>
    <t>Oro</t>
  </si>
  <si>
    <t>1x1.12</t>
  </si>
  <si>
    <t>Chapala</t>
  </si>
  <si>
    <t>1x0.43</t>
  </si>
  <si>
    <t>Khelra</t>
  </si>
  <si>
    <t>2x1.69</t>
  </si>
  <si>
    <t>Ifari</t>
  </si>
  <si>
    <t>2x1.49</t>
  </si>
  <si>
    <t>Dzama</t>
  </si>
  <si>
    <t>2x0.405</t>
  </si>
  <si>
    <t>1x5</t>
  </si>
  <si>
    <t>2x3.5</t>
  </si>
  <si>
    <t>1x7.5</t>
  </si>
  <si>
    <t>Skhalta</t>
  </si>
  <si>
    <t>3x3</t>
  </si>
  <si>
    <t>Dvirula</t>
  </si>
  <si>
    <t>Akhatani</t>
  </si>
  <si>
    <t>2x0.3</t>
  </si>
  <si>
    <t>1x300</t>
  </si>
  <si>
    <t>Thermal</t>
  </si>
  <si>
    <t>130+142</t>
  </si>
  <si>
    <t>Coal</t>
  </si>
  <si>
    <t>Gardabani</t>
  </si>
  <si>
    <t>CCGT</t>
  </si>
  <si>
    <t>2x75+80</t>
  </si>
  <si>
    <t>2x84+87</t>
  </si>
  <si>
    <t>Wind</t>
  </si>
  <si>
    <t>6x3.45</t>
  </si>
  <si>
    <t>Gardabani 2</t>
  </si>
  <si>
    <t>TPP (Rustavi Azoti)</t>
  </si>
  <si>
    <t>Khadori 2</t>
  </si>
  <si>
    <t>Alazani 2</t>
  </si>
  <si>
    <t>5x9,1+1x1.98</t>
  </si>
  <si>
    <t>Shilda 1</t>
  </si>
  <si>
    <t>Kasleti 2</t>
  </si>
  <si>
    <t xml:space="preserve">Jonouli 1 </t>
  </si>
  <si>
    <t>Old Energy</t>
  </si>
  <si>
    <t>Aragvi 2</t>
  </si>
  <si>
    <t>Mestiachala 1</t>
  </si>
  <si>
    <t>Mestiachala 2</t>
  </si>
  <si>
    <t>Sashuala 2</t>
  </si>
  <si>
    <t>Lakhami 2</t>
  </si>
  <si>
    <t>Lakhami 1</t>
  </si>
  <si>
    <t>Sashuala 1</t>
  </si>
  <si>
    <t>Tbilisi Sea</t>
  </si>
  <si>
    <t>Roshka 2</t>
  </si>
  <si>
    <t>Roshka 3</t>
  </si>
  <si>
    <t>Tkibuli Coal TPP</t>
  </si>
  <si>
    <t>GOGC No. 9</t>
  </si>
  <si>
    <t>GOGC No. 3 and 4</t>
  </si>
  <si>
    <t>Gas Turbine</t>
  </si>
  <si>
    <t>GT</t>
  </si>
  <si>
    <t>Wind Farm</t>
  </si>
  <si>
    <t>Reservoir Hydro</t>
  </si>
  <si>
    <t>Daily Regulation Hydro</t>
  </si>
  <si>
    <t>Mini Khadori 1</t>
  </si>
  <si>
    <t>Total</t>
  </si>
  <si>
    <t>Run-of-River (Small)</t>
  </si>
  <si>
    <t>Unit</t>
  </si>
  <si>
    <t>MW</t>
  </si>
  <si>
    <t>TYNDP 2022</t>
  </si>
  <si>
    <t>Public</t>
  </si>
  <si>
    <t>Yes</t>
  </si>
  <si>
    <t>No</t>
  </si>
  <si>
    <t>Sum of Capacity (MW)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</si>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</sst>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499984740745262"/>
      <name val="Arial"/>
      <family val="2"/>
    </font>
    <font>
      <b/>
      <sz val="11"/>
      <color theme="4" tint="-0.499984740745262"/>
      <name val="Arial"/>
      <family val="2"/>
    </font>
    <font>
      <b/>
      <sz val="11"/>
      <color theme="4" tint="-0.499984740745262"/>
      <name val="Arial"/>
      <family val="2"/>
    </font>
    <font>
      <i/>
      <sz val="11"/>
      <color theme="4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theme="4" tint="-0.24994659260841701"/>
      </patternFill>
    </fill>
    <fill>
      <patternFill patternType="solid">
        <fgColor theme="0"/>
        <bgColor theme="4" tint="-0.2499465926084170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0" fontId="0" fillId="2" borderId="0" xfId="0" applyFill="1"/>
    <xf numFmtId="0" fontId="1" fillId="2" borderId="0" xfId="0" applyFont="1" applyFill="1"/>
    <xf numFmtId="0" fontId="3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 wrapText="1"/>
    </xf>
    <xf numFmtId="0" fontId="3" fillId="4" borderId="0" xfId="0" applyFont="1" applyFill="1" applyAlignment="1">
      <alignment vertical="top" wrapText="1"/>
    </xf>
    <xf numFmtId="43" fontId="0" fillId="2" borderId="0" xfId="1" applyFont="1" applyFill="1"/>
    <xf numFmtId="0" fontId="6" fillId="2" borderId="1" xfId="0" applyFont="1" applyFill="1" applyBorder="1" applyAlignment="1">
      <alignment wrapText="1"/>
    </xf>
    <xf numFmtId="164" fontId="1" fillId="2" borderId="0" xfId="1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'Installed Capacity'!$B$6</c:f>
              <c:strCache>
                <c:ptCount val="1"/>
                <c:pt idx="0">
                  <c:v>Reservoir 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'Installed Capacity'!$D$4:$CT$4</c:f>
              <c:numCache>
                <c:formatCode>General</c:formatCode>
                <c:ptCount val="95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</c:numCache>
            </c:numRef>
          </c:cat>
          <c:val>
            <c:numRef>
              <c:f>'Installed Capacity'!$D$6:$CT$6</c:f>
              <c:numCache>
                <c:formatCode>_(* #,##0.00_);_(* \(#,##0.00\);_(* "-"??_);_(@_)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113.5</c:v>
                </c:pt>
                <c:pt idx="21">
                  <c:v>113.5</c:v>
                </c:pt>
                <c:pt idx="22">
                  <c:v>113.5</c:v>
                </c:pt>
                <c:pt idx="23">
                  <c:v>113.5</c:v>
                </c:pt>
                <c:pt idx="24">
                  <c:v>113.5</c:v>
                </c:pt>
                <c:pt idx="25">
                  <c:v>113.5</c:v>
                </c:pt>
                <c:pt idx="26">
                  <c:v>113.5</c:v>
                </c:pt>
                <c:pt idx="27">
                  <c:v>113.5</c:v>
                </c:pt>
                <c:pt idx="28">
                  <c:v>151.9</c:v>
                </c:pt>
                <c:pt idx="29">
                  <c:v>231.9</c:v>
                </c:pt>
                <c:pt idx="30">
                  <c:v>231.9</c:v>
                </c:pt>
                <c:pt idx="31">
                  <c:v>231.9</c:v>
                </c:pt>
                <c:pt idx="32">
                  <c:v>231.9</c:v>
                </c:pt>
                <c:pt idx="33">
                  <c:v>231.9</c:v>
                </c:pt>
                <c:pt idx="34">
                  <c:v>231.9</c:v>
                </c:pt>
                <c:pt idx="35">
                  <c:v>231.9</c:v>
                </c:pt>
                <c:pt idx="36">
                  <c:v>341.9</c:v>
                </c:pt>
                <c:pt idx="37">
                  <c:v>341.9</c:v>
                </c:pt>
                <c:pt idx="38">
                  <c:v>341.9</c:v>
                </c:pt>
                <c:pt idx="39">
                  <c:v>341.9</c:v>
                </c:pt>
                <c:pt idx="40">
                  <c:v>341.9</c:v>
                </c:pt>
                <c:pt idx="41">
                  <c:v>341.9</c:v>
                </c:pt>
                <c:pt idx="42">
                  <c:v>341.9</c:v>
                </c:pt>
                <c:pt idx="43">
                  <c:v>341.9</c:v>
                </c:pt>
                <c:pt idx="44">
                  <c:v>561.9</c:v>
                </c:pt>
                <c:pt idx="45">
                  <c:v>561.9</c:v>
                </c:pt>
                <c:pt idx="46">
                  <c:v>561.9</c:v>
                </c:pt>
                <c:pt idx="47">
                  <c:v>561.9</c:v>
                </c:pt>
                <c:pt idx="48">
                  <c:v>561.9</c:v>
                </c:pt>
                <c:pt idx="49">
                  <c:v>561.9</c:v>
                </c:pt>
                <c:pt idx="50">
                  <c:v>561.9</c:v>
                </c:pt>
                <c:pt idx="51">
                  <c:v>1861.9</c:v>
                </c:pt>
                <c:pt idx="52">
                  <c:v>1861.9</c:v>
                </c:pt>
                <c:pt idx="53">
                  <c:v>1861.9</c:v>
                </c:pt>
                <c:pt idx="54">
                  <c:v>1861.9</c:v>
                </c:pt>
                <c:pt idx="55">
                  <c:v>1861.9</c:v>
                </c:pt>
                <c:pt idx="56">
                  <c:v>1861.9</c:v>
                </c:pt>
                <c:pt idx="57">
                  <c:v>1991.9</c:v>
                </c:pt>
                <c:pt idx="58">
                  <c:v>1991.9</c:v>
                </c:pt>
                <c:pt idx="59">
                  <c:v>1991.9</c:v>
                </c:pt>
                <c:pt idx="60">
                  <c:v>1991.9</c:v>
                </c:pt>
                <c:pt idx="61">
                  <c:v>1991.9</c:v>
                </c:pt>
                <c:pt idx="62">
                  <c:v>1991.9</c:v>
                </c:pt>
                <c:pt idx="63">
                  <c:v>1991.9</c:v>
                </c:pt>
                <c:pt idx="64">
                  <c:v>1991.9</c:v>
                </c:pt>
                <c:pt idx="65">
                  <c:v>1991.9</c:v>
                </c:pt>
                <c:pt idx="66">
                  <c:v>1991.9</c:v>
                </c:pt>
                <c:pt idx="67">
                  <c:v>1991.9</c:v>
                </c:pt>
                <c:pt idx="68">
                  <c:v>1991.9</c:v>
                </c:pt>
                <c:pt idx="69">
                  <c:v>1991.9</c:v>
                </c:pt>
                <c:pt idx="70">
                  <c:v>1991.9</c:v>
                </c:pt>
                <c:pt idx="71">
                  <c:v>1991.9</c:v>
                </c:pt>
                <c:pt idx="72">
                  <c:v>1991.9</c:v>
                </c:pt>
                <c:pt idx="73">
                  <c:v>1991.9</c:v>
                </c:pt>
                <c:pt idx="74">
                  <c:v>1991.9</c:v>
                </c:pt>
                <c:pt idx="75">
                  <c:v>1991.9</c:v>
                </c:pt>
                <c:pt idx="76">
                  <c:v>1991.9</c:v>
                </c:pt>
                <c:pt idx="77">
                  <c:v>1991.9</c:v>
                </c:pt>
                <c:pt idx="78">
                  <c:v>1991.9</c:v>
                </c:pt>
                <c:pt idx="79">
                  <c:v>1991.9</c:v>
                </c:pt>
                <c:pt idx="80">
                  <c:v>1991.9</c:v>
                </c:pt>
                <c:pt idx="81">
                  <c:v>1991.9</c:v>
                </c:pt>
                <c:pt idx="82">
                  <c:v>1991.9</c:v>
                </c:pt>
                <c:pt idx="83">
                  <c:v>1991.9</c:v>
                </c:pt>
                <c:pt idx="84">
                  <c:v>1991.9</c:v>
                </c:pt>
                <c:pt idx="85">
                  <c:v>1991.9</c:v>
                </c:pt>
                <c:pt idx="86">
                  <c:v>1991.9</c:v>
                </c:pt>
                <c:pt idx="87">
                  <c:v>1991.9</c:v>
                </c:pt>
                <c:pt idx="88">
                  <c:v>1991.9</c:v>
                </c:pt>
                <c:pt idx="89">
                  <c:v>1991.9</c:v>
                </c:pt>
                <c:pt idx="90">
                  <c:v>1991.9</c:v>
                </c:pt>
                <c:pt idx="91">
                  <c:v>1991.9</c:v>
                </c:pt>
                <c:pt idx="92">
                  <c:v>1991.9</c:v>
                </c:pt>
                <c:pt idx="93">
                  <c:v>1991.9</c:v>
                </c:pt>
                <c:pt idx="94">
                  <c:v>1991.9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0-4101-988A-498342A8F0AB}"/>
            </c:ext>
          </c:extLst>
        </c:ser>
        <c:ser>
          <c:idx val="1"/>
          <c:order val="1"/>
          <c:tx>
            <c:strRef>
              <c:f>'Installed Capacity'!$B$7</c:f>
              <c:strCache>
                <c:ptCount val="1"/>
                <c:pt idx="0">
                  <c:v>Daily Regulation Hydro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'Installed Capacity'!$D$4:$CT$4</c:f>
              <c:numCache>
                <c:formatCode>General</c:formatCode>
                <c:ptCount val="95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</c:numCache>
            </c:numRef>
          </c:cat>
          <c:val>
            <c:numRef>
              <c:f>'Installed Capacity'!$D$7:$CT$7</c:f>
              <c:numCache>
                <c:formatCode>_(* #,##0.00_);_(* \(#,##0.00\);_(* "-"??_);_(@_)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111.8</c:v>
                </c:pt>
                <c:pt idx="34">
                  <c:v>111.8</c:v>
                </c:pt>
                <c:pt idx="35">
                  <c:v>111.8</c:v>
                </c:pt>
                <c:pt idx="36">
                  <c:v>111.8</c:v>
                </c:pt>
                <c:pt idx="37">
                  <c:v>111.8</c:v>
                </c:pt>
                <c:pt idx="38">
                  <c:v>111.8</c:v>
                </c:pt>
                <c:pt idx="39">
                  <c:v>111.8</c:v>
                </c:pt>
                <c:pt idx="40">
                  <c:v>111.8</c:v>
                </c:pt>
                <c:pt idx="41">
                  <c:v>111.8</c:v>
                </c:pt>
                <c:pt idx="42">
                  <c:v>111.8</c:v>
                </c:pt>
                <c:pt idx="43">
                  <c:v>111.8</c:v>
                </c:pt>
                <c:pt idx="44">
                  <c:v>111.8</c:v>
                </c:pt>
                <c:pt idx="45">
                  <c:v>111.8</c:v>
                </c:pt>
                <c:pt idx="46">
                  <c:v>111.8</c:v>
                </c:pt>
                <c:pt idx="47">
                  <c:v>111.8</c:v>
                </c:pt>
                <c:pt idx="48">
                  <c:v>111.8</c:v>
                </c:pt>
                <c:pt idx="49">
                  <c:v>111.8</c:v>
                </c:pt>
                <c:pt idx="50">
                  <c:v>111.8</c:v>
                </c:pt>
                <c:pt idx="51">
                  <c:v>111.8</c:v>
                </c:pt>
                <c:pt idx="52">
                  <c:v>111.8</c:v>
                </c:pt>
                <c:pt idx="53">
                  <c:v>111.8</c:v>
                </c:pt>
                <c:pt idx="54">
                  <c:v>111.8</c:v>
                </c:pt>
                <c:pt idx="55">
                  <c:v>111.8</c:v>
                </c:pt>
                <c:pt idx="56">
                  <c:v>111.8</c:v>
                </c:pt>
                <c:pt idx="57">
                  <c:v>111.8</c:v>
                </c:pt>
                <c:pt idx="58">
                  <c:v>111.8</c:v>
                </c:pt>
                <c:pt idx="59">
                  <c:v>111.8</c:v>
                </c:pt>
                <c:pt idx="60">
                  <c:v>111.8</c:v>
                </c:pt>
                <c:pt idx="61">
                  <c:v>111.8</c:v>
                </c:pt>
                <c:pt idx="62">
                  <c:v>111.8</c:v>
                </c:pt>
                <c:pt idx="63">
                  <c:v>111.8</c:v>
                </c:pt>
                <c:pt idx="64">
                  <c:v>111.8</c:v>
                </c:pt>
                <c:pt idx="65">
                  <c:v>111.8</c:v>
                </c:pt>
                <c:pt idx="66">
                  <c:v>111.8</c:v>
                </c:pt>
                <c:pt idx="67">
                  <c:v>111.8</c:v>
                </c:pt>
                <c:pt idx="68">
                  <c:v>111.8</c:v>
                </c:pt>
                <c:pt idx="69">
                  <c:v>111.8</c:v>
                </c:pt>
                <c:pt idx="70">
                  <c:v>111.8</c:v>
                </c:pt>
                <c:pt idx="71">
                  <c:v>111.8</c:v>
                </c:pt>
                <c:pt idx="72">
                  <c:v>111.8</c:v>
                </c:pt>
                <c:pt idx="73">
                  <c:v>111.8</c:v>
                </c:pt>
                <c:pt idx="74">
                  <c:v>111.8</c:v>
                </c:pt>
                <c:pt idx="75">
                  <c:v>111.8</c:v>
                </c:pt>
                <c:pt idx="76">
                  <c:v>111.8</c:v>
                </c:pt>
                <c:pt idx="77">
                  <c:v>111.8</c:v>
                </c:pt>
                <c:pt idx="78">
                  <c:v>111.8</c:v>
                </c:pt>
                <c:pt idx="79">
                  <c:v>111.8</c:v>
                </c:pt>
                <c:pt idx="80">
                  <c:v>111.8</c:v>
                </c:pt>
                <c:pt idx="81">
                  <c:v>111.8</c:v>
                </c:pt>
                <c:pt idx="82">
                  <c:v>111.8</c:v>
                </c:pt>
                <c:pt idx="83">
                  <c:v>111.8</c:v>
                </c:pt>
                <c:pt idx="84">
                  <c:v>111.8</c:v>
                </c:pt>
                <c:pt idx="85">
                  <c:v>111.8</c:v>
                </c:pt>
                <c:pt idx="86">
                  <c:v>111.8</c:v>
                </c:pt>
                <c:pt idx="87">
                  <c:v>111.8</c:v>
                </c:pt>
                <c:pt idx="88">
                  <c:v>111.8</c:v>
                </c:pt>
                <c:pt idx="89">
                  <c:v>159.28</c:v>
                </c:pt>
                <c:pt idx="90">
                  <c:v>338</c:v>
                </c:pt>
                <c:pt idx="91">
                  <c:v>389.22</c:v>
                </c:pt>
                <c:pt idx="92">
                  <c:v>389.22</c:v>
                </c:pt>
                <c:pt idx="93">
                  <c:v>389.22</c:v>
                </c:pt>
                <c:pt idx="94">
                  <c:v>389.22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F0-4101-988A-498342A8F0AB}"/>
            </c:ext>
          </c:extLst>
        </c:ser>
        <c:ser>
          <c:idx val="2"/>
          <c:order val="2"/>
          <c:tx>
            <c:strRef>
              <c:f>'Installed Capacity'!$B$8</c:f>
              <c:strCache>
                <c:ptCount val="1"/>
                <c:pt idx="0">
                  <c:v>Run-of-River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'Installed Capacity'!$D$4:$CT$4</c:f>
              <c:numCache>
                <c:formatCode>General</c:formatCode>
                <c:ptCount val="95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</c:numCache>
            </c:numRef>
          </c:cat>
          <c:val>
            <c:numRef>
              <c:f>'Installed Capacity'!$D$8:$CT$8</c:f>
              <c:numCache>
                <c:formatCode>_(* #,##0.00_);_(* \(#,##0.00\);_(* "-"??_);_(@_)</c:formatCode>
                <c:ptCount val="95"/>
                <c:pt idx="0">
                  <c:v>36.799999999999997</c:v>
                </c:pt>
                <c:pt idx="1">
                  <c:v>36.799999999999997</c:v>
                </c:pt>
                <c:pt idx="2">
                  <c:v>36.799999999999997</c:v>
                </c:pt>
                <c:pt idx="3">
                  <c:v>36.799999999999997</c:v>
                </c:pt>
                <c:pt idx="4">
                  <c:v>36.799999999999997</c:v>
                </c:pt>
                <c:pt idx="5">
                  <c:v>36.799999999999997</c:v>
                </c:pt>
                <c:pt idx="6">
                  <c:v>84.8</c:v>
                </c:pt>
                <c:pt idx="7">
                  <c:v>84.8</c:v>
                </c:pt>
                <c:pt idx="8">
                  <c:v>84.8</c:v>
                </c:pt>
                <c:pt idx="9">
                  <c:v>84.8</c:v>
                </c:pt>
                <c:pt idx="10">
                  <c:v>100.8</c:v>
                </c:pt>
                <c:pt idx="11">
                  <c:v>100.8</c:v>
                </c:pt>
                <c:pt idx="12">
                  <c:v>100.8</c:v>
                </c:pt>
                <c:pt idx="13">
                  <c:v>100.8</c:v>
                </c:pt>
                <c:pt idx="14">
                  <c:v>100.8</c:v>
                </c:pt>
                <c:pt idx="15">
                  <c:v>100.8</c:v>
                </c:pt>
                <c:pt idx="16">
                  <c:v>100.8</c:v>
                </c:pt>
                <c:pt idx="17">
                  <c:v>100.8</c:v>
                </c:pt>
                <c:pt idx="18">
                  <c:v>100.8</c:v>
                </c:pt>
                <c:pt idx="19">
                  <c:v>100.8</c:v>
                </c:pt>
                <c:pt idx="20">
                  <c:v>100.8</c:v>
                </c:pt>
                <c:pt idx="21">
                  <c:v>100.8</c:v>
                </c:pt>
                <c:pt idx="22">
                  <c:v>121.8</c:v>
                </c:pt>
                <c:pt idx="23">
                  <c:v>121.8</c:v>
                </c:pt>
                <c:pt idx="24">
                  <c:v>121.8</c:v>
                </c:pt>
                <c:pt idx="25">
                  <c:v>121.8</c:v>
                </c:pt>
                <c:pt idx="26">
                  <c:v>121.8</c:v>
                </c:pt>
                <c:pt idx="27">
                  <c:v>139.80000000000001</c:v>
                </c:pt>
                <c:pt idx="28">
                  <c:v>139.80000000000001</c:v>
                </c:pt>
                <c:pt idx="29">
                  <c:v>206.5</c:v>
                </c:pt>
                <c:pt idx="30">
                  <c:v>206.5</c:v>
                </c:pt>
                <c:pt idx="31">
                  <c:v>206.5</c:v>
                </c:pt>
                <c:pt idx="32">
                  <c:v>206.5</c:v>
                </c:pt>
                <c:pt idx="33">
                  <c:v>206.5</c:v>
                </c:pt>
                <c:pt idx="34">
                  <c:v>206.5</c:v>
                </c:pt>
                <c:pt idx="35">
                  <c:v>206.5</c:v>
                </c:pt>
                <c:pt idx="36">
                  <c:v>206.5</c:v>
                </c:pt>
                <c:pt idx="37">
                  <c:v>206.5</c:v>
                </c:pt>
                <c:pt idx="38">
                  <c:v>206.5</c:v>
                </c:pt>
                <c:pt idx="39">
                  <c:v>206.5</c:v>
                </c:pt>
                <c:pt idx="40">
                  <c:v>206.5</c:v>
                </c:pt>
                <c:pt idx="41">
                  <c:v>206.5</c:v>
                </c:pt>
                <c:pt idx="42">
                  <c:v>206.5</c:v>
                </c:pt>
                <c:pt idx="43">
                  <c:v>206.5</c:v>
                </c:pt>
                <c:pt idx="44">
                  <c:v>206.5</c:v>
                </c:pt>
                <c:pt idx="45">
                  <c:v>206.5</c:v>
                </c:pt>
                <c:pt idx="46">
                  <c:v>206.5</c:v>
                </c:pt>
                <c:pt idx="47">
                  <c:v>206.5</c:v>
                </c:pt>
                <c:pt idx="48">
                  <c:v>206.5</c:v>
                </c:pt>
                <c:pt idx="49">
                  <c:v>206.5</c:v>
                </c:pt>
                <c:pt idx="50">
                  <c:v>390.5</c:v>
                </c:pt>
                <c:pt idx="51">
                  <c:v>390.5</c:v>
                </c:pt>
                <c:pt idx="52">
                  <c:v>390.5</c:v>
                </c:pt>
                <c:pt idx="53">
                  <c:v>390.5</c:v>
                </c:pt>
                <c:pt idx="54">
                  <c:v>390.5</c:v>
                </c:pt>
                <c:pt idx="55">
                  <c:v>390.5</c:v>
                </c:pt>
                <c:pt idx="56">
                  <c:v>390.5</c:v>
                </c:pt>
                <c:pt idx="57">
                  <c:v>390.5</c:v>
                </c:pt>
                <c:pt idx="58">
                  <c:v>390.5</c:v>
                </c:pt>
                <c:pt idx="59">
                  <c:v>390.5</c:v>
                </c:pt>
                <c:pt idx="60">
                  <c:v>390.5</c:v>
                </c:pt>
                <c:pt idx="61">
                  <c:v>390.5</c:v>
                </c:pt>
                <c:pt idx="62">
                  <c:v>390.5</c:v>
                </c:pt>
                <c:pt idx="63">
                  <c:v>390.5</c:v>
                </c:pt>
                <c:pt idx="64">
                  <c:v>390.5</c:v>
                </c:pt>
                <c:pt idx="65">
                  <c:v>404.5</c:v>
                </c:pt>
                <c:pt idx="66">
                  <c:v>404.5</c:v>
                </c:pt>
                <c:pt idx="67">
                  <c:v>404.5</c:v>
                </c:pt>
                <c:pt idx="68">
                  <c:v>404.5</c:v>
                </c:pt>
                <c:pt idx="69">
                  <c:v>404.5</c:v>
                </c:pt>
                <c:pt idx="70">
                  <c:v>404.5</c:v>
                </c:pt>
                <c:pt idx="71">
                  <c:v>404.5</c:v>
                </c:pt>
                <c:pt idx="72">
                  <c:v>404.5</c:v>
                </c:pt>
                <c:pt idx="73">
                  <c:v>404.5</c:v>
                </c:pt>
                <c:pt idx="74">
                  <c:v>404.5</c:v>
                </c:pt>
                <c:pt idx="75">
                  <c:v>404.5</c:v>
                </c:pt>
                <c:pt idx="76">
                  <c:v>404.5</c:v>
                </c:pt>
                <c:pt idx="77">
                  <c:v>430.5</c:v>
                </c:pt>
                <c:pt idx="78">
                  <c:v>430.5</c:v>
                </c:pt>
                <c:pt idx="79">
                  <c:v>430.5</c:v>
                </c:pt>
                <c:pt idx="80">
                  <c:v>430.5</c:v>
                </c:pt>
                <c:pt idx="81">
                  <c:v>430.5</c:v>
                </c:pt>
                <c:pt idx="82">
                  <c:v>430.5</c:v>
                </c:pt>
                <c:pt idx="83">
                  <c:v>430.5</c:v>
                </c:pt>
                <c:pt idx="84">
                  <c:v>430.5</c:v>
                </c:pt>
                <c:pt idx="85">
                  <c:v>430.5</c:v>
                </c:pt>
                <c:pt idx="86">
                  <c:v>430.5</c:v>
                </c:pt>
                <c:pt idx="87">
                  <c:v>537</c:v>
                </c:pt>
                <c:pt idx="88">
                  <c:v>537</c:v>
                </c:pt>
                <c:pt idx="89">
                  <c:v>649.20000000000005</c:v>
                </c:pt>
                <c:pt idx="90">
                  <c:v>656.7</c:v>
                </c:pt>
                <c:pt idx="91">
                  <c:v>695.55000000000007</c:v>
                </c:pt>
                <c:pt idx="92">
                  <c:v>752.12000000000012</c:v>
                </c:pt>
                <c:pt idx="93">
                  <c:v>781.22100000000012</c:v>
                </c:pt>
                <c:pt idx="94">
                  <c:v>805.04100000000017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F0-4101-988A-498342A8F0AB}"/>
            </c:ext>
          </c:extLst>
        </c:ser>
        <c:ser>
          <c:idx val="3"/>
          <c:order val="3"/>
          <c:tx>
            <c:strRef>
              <c:f>'Installed Capacity'!$B$9</c:f>
              <c:strCache>
                <c:ptCount val="1"/>
                <c:pt idx="0">
                  <c:v>Run-of-River (Small)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'Installed Capacity'!$D$4:$CT$4</c:f>
              <c:numCache>
                <c:formatCode>General</c:formatCode>
                <c:ptCount val="95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</c:numCache>
            </c:numRef>
          </c:cat>
          <c:val>
            <c:numRef>
              <c:f>'Installed Capacity'!$D$9:$CT$9</c:f>
              <c:numCache>
                <c:formatCode>_(* #,##0.00_);_(* \(#,##0.00\);_(* "-"??_);_(@_)</c:formatCode>
                <c:ptCount val="95"/>
                <c:pt idx="0">
                  <c:v>0</c:v>
                </c:pt>
                <c:pt idx="1">
                  <c:v>2.0099999999999998</c:v>
                </c:pt>
                <c:pt idx="2">
                  <c:v>2.0099999999999998</c:v>
                </c:pt>
                <c:pt idx="3">
                  <c:v>2.0099999999999998</c:v>
                </c:pt>
                <c:pt idx="4">
                  <c:v>2.0099999999999998</c:v>
                </c:pt>
                <c:pt idx="5">
                  <c:v>2.0099999999999998</c:v>
                </c:pt>
                <c:pt idx="6">
                  <c:v>2.0099999999999998</c:v>
                </c:pt>
                <c:pt idx="7">
                  <c:v>2.0099999999999998</c:v>
                </c:pt>
                <c:pt idx="8">
                  <c:v>3.3099999999999996</c:v>
                </c:pt>
                <c:pt idx="9">
                  <c:v>3.3099999999999996</c:v>
                </c:pt>
                <c:pt idx="10">
                  <c:v>3.3099999999999996</c:v>
                </c:pt>
                <c:pt idx="11">
                  <c:v>3.3099999999999996</c:v>
                </c:pt>
                <c:pt idx="12">
                  <c:v>3.3099999999999996</c:v>
                </c:pt>
                <c:pt idx="13">
                  <c:v>3.3099999999999996</c:v>
                </c:pt>
                <c:pt idx="14">
                  <c:v>4.8099999999999996</c:v>
                </c:pt>
                <c:pt idx="15">
                  <c:v>9.61</c:v>
                </c:pt>
                <c:pt idx="16">
                  <c:v>9.61</c:v>
                </c:pt>
                <c:pt idx="17">
                  <c:v>9.61</c:v>
                </c:pt>
                <c:pt idx="18">
                  <c:v>9.61</c:v>
                </c:pt>
                <c:pt idx="19">
                  <c:v>9.61</c:v>
                </c:pt>
                <c:pt idx="20">
                  <c:v>9.61</c:v>
                </c:pt>
                <c:pt idx="21">
                  <c:v>9.61</c:v>
                </c:pt>
                <c:pt idx="22">
                  <c:v>10.41</c:v>
                </c:pt>
                <c:pt idx="23">
                  <c:v>10.71</c:v>
                </c:pt>
                <c:pt idx="24">
                  <c:v>14.290000000000001</c:v>
                </c:pt>
                <c:pt idx="25">
                  <c:v>31.79</c:v>
                </c:pt>
                <c:pt idx="26">
                  <c:v>35.29</c:v>
                </c:pt>
                <c:pt idx="27">
                  <c:v>36.19</c:v>
                </c:pt>
                <c:pt idx="28">
                  <c:v>36.19</c:v>
                </c:pt>
                <c:pt idx="29">
                  <c:v>48.39</c:v>
                </c:pt>
                <c:pt idx="30">
                  <c:v>52.09</c:v>
                </c:pt>
                <c:pt idx="31">
                  <c:v>54.09</c:v>
                </c:pt>
                <c:pt idx="32">
                  <c:v>54.09</c:v>
                </c:pt>
                <c:pt idx="33">
                  <c:v>54.09</c:v>
                </c:pt>
                <c:pt idx="34">
                  <c:v>54.09</c:v>
                </c:pt>
                <c:pt idx="35">
                  <c:v>54.09</c:v>
                </c:pt>
                <c:pt idx="36">
                  <c:v>54.09</c:v>
                </c:pt>
                <c:pt idx="37">
                  <c:v>66.19</c:v>
                </c:pt>
                <c:pt idx="38">
                  <c:v>66.19</c:v>
                </c:pt>
                <c:pt idx="39">
                  <c:v>66.19</c:v>
                </c:pt>
                <c:pt idx="40">
                  <c:v>77.89</c:v>
                </c:pt>
                <c:pt idx="41">
                  <c:v>77.89</c:v>
                </c:pt>
                <c:pt idx="42">
                  <c:v>77.89</c:v>
                </c:pt>
                <c:pt idx="43">
                  <c:v>77.89</c:v>
                </c:pt>
                <c:pt idx="44">
                  <c:v>77.89</c:v>
                </c:pt>
                <c:pt idx="45">
                  <c:v>77.89</c:v>
                </c:pt>
                <c:pt idx="46">
                  <c:v>77.89</c:v>
                </c:pt>
                <c:pt idx="47">
                  <c:v>77.89</c:v>
                </c:pt>
                <c:pt idx="48">
                  <c:v>77.89</c:v>
                </c:pt>
                <c:pt idx="49">
                  <c:v>77.89</c:v>
                </c:pt>
                <c:pt idx="50">
                  <c:v>77.89</c:v>
                </c:pt>
                <c:pt idx="51">
                  <c:v>77.89</c:v>
                </c:pt>
                <c:pt idx="52">
                  <c:v>77.89</c:v>
                </c:pt>
                <c:pt idx="53">
                  <c:v>77.89</c:v>
                </c:pt>
                <c:pt idx="54">
                  <c:v>77.89</c:v>
                </c:pt>
                <c:pt idx="55">
                  <c:v>77.89</c:v>
                </c:pt>
                <c:pt idx="56">
                  <c:v>77.89</c:v>
                </c:pt>
                <c:pt idx="57">
                  <c:v>77.89</c:v>
                </c:pt>
                <c:pt idx="58">
                  <c:v>77.89</c:v>
                </c:pt>
                <c:pt idx="59">
                  <c:v>77.89</c:v>
                </c:pt>
                <c:pt idx="60">
                  <c:v>77.89</c:v>
                </c:pt>
                <c:pt idx="61">
                  <c:v>77.89</c:v>
                </c:pt>
                <c:pt idx="62">
                  <c:v>77.89</c:v>
                </c:pt>
                <c:pt idx="63">
                  <c:v>77.89</c:v>
                </c:pt>
                <c:pt idx="64">
                  <c:v>77.89</c:v>
                </c:pt>
                <c:pt idx="65">
                  <c:v>77.89</c:v>
                </c:pt>
                <c:pt idx="66">
                  <c:v>77.89</c:v>
                </c:pt>
                <c:pt idx="67">
                  <c:v>77.89</c:v>
                </c:pt>
                <c:pt idx="68">
                  <c:v>77.89</c:v>
                </c:pt>
                <c:pt idx="69">
                  <c:v>77.89</c:v>
                </c:pt>
                <c:pt idx="70">
                  <c:v>77.89</c:v>
                </c:pt>
                <c:pt idx="71">
                  <c:v>79.69</c:v>
                </c:pt>
                <c:pt idx="72">
                  <c:v>79.69</c:v>
                </c:pt>
                <c:pt idx="73">
                  <c:v>79.69</c:v>
                </c:pt>
                <c:pt idx="74">
                  <c:v>79.69</c:v>
                </c:pt>
                <c:pt idx="75">
                  <c:v>79.69</c:v>
                </c:pt>
                <c:pt idx="76">
                  <c:v>79.69</c:v>
                </c:pt>
                <c:pt idx="77">
                  <c:v>79.69</c:v>
                </c:pt>
                <c:pt idx="78">
                  <c:v>79.69</c:v>
                </c:pt>
                <c:pt idx="79">
                  <c:v>81.58</c:v>
                </c:pt>
                <c:pt idx="80">
                  <c:v>86.58</c:v>
                </c:pt>
                <c:pt idx="81">
                  <c:v>86.58</c:v>
                </c:pt>
                <c:pt idx="82">
                  <c:v>91.98</c:v>
                </c:pt>
                <c:pt idx="83">
                  <c:v>92.18</c:v>
                </c:pt>
                <c:pt idx="84">
                  <c:v>92.28</c:v>
                </c:pt>
                <c:pt idx="85">
                  <c:v>98.98</c:v>
                </c:pt>
                <c:pt idx="86">
                  <c:v>131.08000000000001</c:v>
                </c:pt>
                <c:pt idx="87">
                  <c:v>159.08000000000001</c:v>
                </c:pt>
                <c:pt idx="88">
                  <c:v>167.13000000000002</c:v>
                </c:pt>
                <c:pt idx="89">
                  <c:v>167.38000000000002</c:v>
                </c:pt>
                <c:pt idx="90">
                  <c:v>167.82000000000002</c:v>
                </c:pt>
                <c:pt idx="91">
                  <c:v>167.82000000000002</c:v>
                </c:pt>
                <c:pt idx="92">
                  <c:v>167.82000000000002</c:v>
                </c:pt>
                <c:pt idx="93">
                  <c:v>167.82000000000002</c:v>
                </c:pt>
                <c:pt idx="94">
                  <c:v>167.82000000000002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F0-4101-988A-498342A8F0AB}"/>
            </c:ext>
          </c:extLst>
        </c:ser>
        <c:ser>
          <c:idx val="4"/>
          <c:order val="4"/>
          <c:tx>
            <c:strRef>
              <c:f>'Installed Capacity'!$B$10</c:f>
              <c:strCache>
                <c:ptCount val="1"/>
                <c:pt idx="0">
                  <c:v>Thermal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'Installed Capacity'!$D$4:$CT$4</c:f>
              <c:numCache>
                <c:formatCode>General</c:formatCode>
                <c:ptCount val="95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</c:numCache>
            </c:numRef>
          </c:cat>
          <c:val>
            <c:numRef>
              <c:f>'Installed Capacity'!$D$10:$CT$10</c:f>
              <c:numCache>
                <c:formatCode>_(* #,##0.00_);_(* \(#,##0.00\);_(* "-"??_);_(@_)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272</c:v>
                </c:pt>
                <c:pt idx="37">
                  <c:v>272</c:v>
                </c:pt>
                <c:pt idx="38">
                  <c:v>272</c:v>
                </c:pt>
                <c:pt idx="39">
                  <c:v>272</c:v>
                </c:pt>
                <c:pt idx="40">
                  <c:v>272</c:v>
                </c:pt>
                <c:pt idx="41">
                  <c:v>272</c:v>
                </c:pt>
                <c:pt idx="42">
                  <c:v>272</c:v>
                </c:pt>
                <c:pt idx="43">
                  <c:v>272</c:v>
                </c:pt>
                <c:pt idx="44">
                  <c:v>272</c:v>
                </c:pt>
                <c:pt idx="45">
                  <c:v>272</c:v>
                </c:pt>
                <c:pt idx="46">
                  <c:v>272</c:v>
                </c:pt>
                <c:pt idx="47">
                  <c:v>272</c:v>
                </c:pt>
                <c:pt idx="48">
                  <c:v>272</c:v>
                </c:pt>
                <c:pt idx="49">
                  <c:v>272</c:v>
                </c:pt>
                <c:pt idx="50">
                  <c:v>272</c:v>
                </c:pt>
                <c:pt idx="51">
                  <c:v>272</c:v>
                </c:pt>
                <c:pt idx="52">
                  <c:v>272</c:v>
                </c:pt>
                <c:pt idx="53">
                  <c:v>272</c:v>
                </c:pt>
                <c:pt idx="54">
                  <c:v>272</c:v>
                </c:pt>
                <c:pt idx="55">
                  <c:v>272</c:v>
                </c:pt>
                <c:pt idx="56">
                  <c:v>272</c:v>
                </c:pt>
                <c:pt idx="57">
                  <c:v>272</c:v>
                </c:pt>
                <c:pt idx="58">
                  <c:v>272</c:v>
                </c:pt>
                <c:pt idx="59">
                  <c:v>272</c:v>
                </c:pt>
                <c:pt idx="60">
                  <c:v>272</c:v>
                </c:pt>
                <c:pt idx="61">
                  <c:v>272</c:v>
                </c:pt>
                <c:pt idx="62">
                  <c:v>272</c:v>
                </c:pt>
                <c:pt idx="63">
                  <c:v>272</c:v>
                </c:pt>
                <c:pt idx="64">
                  <c:v>572</c:v>
                </c:pt>
                <c:pt idx="65">
                  <c:v>572</c:v>
                </c:pt>
                <c:pt idx="66">
                  <c:v>572</c:v>
                </c:pt>
                <c:pt idx="67">
                  <c:v>572</c:v>
                </c:pt>
                <c:pt idx="68">
                  <c:v>572</c:v>
                </c:pt>
                <c:pt idx="69">
                  <c:v>572</c:v>
                </c:pt>
                <c:pt idx="70">
                  <c:v>572</c:v>
                </c:pt>
                <c:pt idx="71">
                  <c:v>572</c:v>
                </c:pt>
                <c:pt idx="72">
                  <c:v>572</c:v>
                </c:pt>
                <c:pt idx="73">
                  <c:v>572</c:v>
                </c:pt>
                <c:pt idx="74">
                  <c:v>572</c:v>
                </c:pt>
                <c:pt idx="75">
                  <c:v>572</c:v>
                </c:pt>
                <c:pt idx="76">
                  <c:v>572</c:v>
                </c:pt>
                <c:pt idx="77">
                  <c:v>572</c:v>
                </c:pt>
                <c:pt idx="78">
                  <c:v>572</c:v>
                </c:pt>
                <c:pt idx="79">
                  <c:v>682</c:v>
                </c:pt>
                <c:pt idx="80">
                  <c:v>682</c:v>
                </c:pt>
                <c:pt idx="81">
                  <c:v>682</c:v>
                </c:pt>
                <c:pt idx="82">
                  <c:v>682</c:v>
                </c:pt>
                <c:pt idx="83">
                  <c:v>682</c:v>
                </c:pt>
                <c:pt idx="84">
                  <c:v>695</c:v>
                </c:pt>
                <c:pt idx="85">
                  <c:v>695</c:v>
                </c:pt>
                <c:pt idx="86">
                  <c:v>695</c:v>
                </c:pt>
                <c:pt idx="87">
                  <c:v>695</c:v>
                </c:pt>
                <c:pt idx="88">
                  <c:v>925</c:v>
                </c:pt>
                <c:pt idx="89">
                  <c:v>925</c:v>
                </c:pt>
                <c:pt idx="90">
                  <c:v>925</c:v>
                </c:pt>
                <c:pt idx="91">
                  <c:v>925</c:v>
                </c:pt>
                <c:pt idx="92">
                  <c:v>925</c:v>
                </c:pt>
                <c:pt idx="93">
                  <c:v>1189.0999999999999</c:v>
                </c:pt>
                <c:pt idx="94">
                  <c:v>1189.0999999999999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F0-4101-988A-498342A8F0AB}"/>
            </c:ext>
          </c:extLst>
        </c:ser>
        <c:ser>
          <c:idx val="5"/>
          <c:order val="5"/>
          <c:tx>
            <c:strRef>
              <c:f>'Installed Capacity'!$B$11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'Installed Capacity'!$D$4:$CT$4</c:f>
              <c:numCache>
                <c:formatCode>General</c:formatCode>
                <c:ptCount val="95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</c:numCache>
            </c:numRef>
          </c:cat>
          <c:val>
            <c:numRef>
              <c:f>'Installed Capacity'!$D$11:$CT$11</c:f>
              <c:numCache>
                <c:formatCode>_(* #,##0.00_);_(* \(#,##0.00\);_(* "-"??_);_(@_)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20.7</c:v>
                </c:pt>
                <c:pt idx="90">
                  <c:v>20.7</c:v>
                </c:pt>
                <c:pt idx="91">
                  <c:v>20.7</c:v>
                </c:pt>
                <c:pt idx="92">
                  <c:v>20.7</c:v>
                </c:pt>
                <c:pt idx="93">
                  <c:v>20.7</c:v>
                </c:pt>
                <c:pt idx="94">
                  <c:v>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F0-4101-988A-498342A8F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764959"/>
        <c:axId val="922769535"/>
      </c:areaChart>
      <c:catAx>
        <c:axId val="922764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769535"/>
        <c:crosses val="autoZero"/>
        <c:auto val="1"/>
        <c:lblAlgn val="ctr"/>
        <c:lblOffset val="100"/>
        <c:noMultiLvlLbl val="0"/>
      </c:catAx>
      <c:valAx>
        <c:axId val="92276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764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512990</xdr:colOff>
      <xdr:row>18</xdr:row>
      <xdr:rowOff>146958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70A3A-6EAB-4E60-A3EA-D8D820817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rn Huenteler" refreshedDate="45457.712780787035" createdVersion="8" refreshedVersion="8" minRefreshableVersion="3" recordCount="112" xr:uid="{FE67A1A8-1BA6-48E1-AE8F-6136B90CDD56}">
  <cacheSource type="worksheet">
    <worksheetSource ref="A1:I113" sheet="Power Plant List"/>
  </cacheSource>
  <cacheFields count="9">
    <cacheField name="Number" numFmtId="0">
      <sharedItems containsSemiMixedTypes="0" containsString="0" containsNumber="1" containsInteger="1" minValue="1" maxValue="112"/>
    </cacheField>
    <cacheField name="Power Plant" numFmtId="0">
      <sharedItems/>
    </cacheField>
    <cacheField name="Source" numFmtId="0">
      <sharedItems count="6">
        <s v="HPP"/>
        <s v="CCGT"/>
        <s v="GT"/>
        <s v="Coal"/>
        <s v="Thermal"/>
        <s v="Wind"/>
      </sharedItems>
    </cacheField>
    <cacheField name="Capacity (MW)" numFmtId="0">
      <sharedItems containsSemiMixedTypes="0" containsString="0" containsNumber="1" minValue="0.1" maxValue="1300"/>
    </cacheField>
    <cacheField name="Number of units" numFmtId="0">
      <sharedItems containsBlank="1" containsMixedTypes="1" containsNumber="1" minValue="0.6" maxValue="9.1"/>
    </cacheField>
    <cacheField name="Type" numFmtId="0">
      <sharedItems count="6">
        <s v="Reservoir Hydro"/>
        <s v="Run-of-River"/>
        <s v="Daily Regulation Hydro"/>
        <s v="Small HPP"/>
        <s v="Thermal"/>
        <s v="Wind"/>
      </sharedItems>
    </cacheField>
    <cacheField name="Commissioning" numFmtId="0">
      <sharedItems containsMixedTypes="1" containsNumber="1" containsInteger="1" minValue="1927" maxValue="2021"/>
    </cacheField>
    <cacheField name="Year" numFmtId="0">
      <sharedItems containsSemiMixedTypes="0" containsString="0" containsNumber="1" containsInteger="1" minValue="1927" maxValue="2021"/>
    </cacheField>
    <cacheField name="Public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1"/>
    <s v="Enguri"/>
    <x v="0"/>
    <n v="1300"/>
    <s v="5x260"/>
    <x v="0"/>
    <n v="1978"/>
    <n v="1978"/>
    <x v="0"/>
  </r>
  <r>
    <n v="2"/>
    <s v="Vardnili 1"/>
    <x v="0"/>
    <n v="220"/>
    <s v="3x73.33"/>
    <x v="0"/>
    <n v="1971"/>
    <n v="1971"/>
    <x v="0"/>
  </r>
  <r>
    <n v="3"/>
    <s v="Khrami 1"/>
    <x v="0"/>
    <n v="113.5"/>
    <s v="3x37.6+1x0.65"/>
    <x v="0"/>
    <n v="1947"/>
    <n v="1947"/>
    <x v="1"/>
  </r>
  <r>
    <n v="4"/>
    <s v="Khrami 2"/>
    <x v="0"/>
    <n v="110"/>
    <s v="2x55"/>
    <x v="0"/>
    <n v="1963"/>
    <n v="1963"/>
    <x v="1"/>
  </r>
  <r>
    <n v="5"/>
    <s v="Shaori"/>
    <x v="0"/>
    <n v="38.4"/>
    <s v="4x9.6"/>
    <x v="0"/>
    <n v="1955"/>
    <n v="1955"/>
    <x v="1"/>
  </r>
  <r>
    <n v="6"/>
    <s v="Dzevrula"/>
    <x v="0"/>
    <n v="80"/>
    <s v="4x20"/>
    <x v="0"/>
    <n v="1956"/>
    <n v="1956"/>
    <x v="1"/>
  </r>
  <r>
    <n v="7"/>
    <s v="Jinvali"/>
    <x v="0"/>
    <n v="130"/>
    <s v="4x32.5"/>
    <x v="0"/>
    <n v="1984"/>
    <n v="1984"/>
    <x v="1"/>
  </r>
  <r>
    <n v="8"/>
    <s v="Rioni"/>
    <x v="0"/>
    <n v="48"/>
    <s v="4x12"/>
    <x v="1"/>
    <n v="1933"/>
    <n v="1933"/>
    <x v="1"/>
  </r>
  <r>
    <n v="9"/>
    <s v="Gumati"/>
    <x v="0"/>
    <n v="66.7"/>
    <s v="4x11+3x7.6"/>
    <x v="1"/>
    <s v="1958-1956"/>
    <n v="1956"/>
    <x v="1"/>
  </r>
  <r>
    <n v="10"/>
    <s v="Vartsikhe cascade"/>
    <x v="0"/>
    <n v="184"/>
    <s v="8x23"/>
    <x v="1"/>
    <s v="1976-1977"/>
    <n v="1977"/>
    <x v="1"/>
  </r>
  <r>
    <n v="11"/>
    <s v="Lajanuri"/>
    <x v="0"/>
    <n v="111.8"/>
    <s v="3x37.28"/>
    <x v="2"/>
    <n v="1960"/>
    <n v="1960"/>
    <x v="1"/>
  </r>
  <r>
    <n v="12"/>
    <s v="Zahesi"/>
    <x v="0"/>
    <n v="36.799999999999997"/>
    <s v="4x3.2+2x12"/>
    <x v="1"/>
    <n v="1927"/>
    <n v="1927"/>
    <x v="1"/>
  </r>
  <r>
    <n v="13"/>
    <s v="Ortachala"/>
    <x v="0"/>
    <n v="18"/>
    <s v="3x6"/>
    <x v="1"/>
    <n v="1954"/>
    <n v="1954"/>
    <x v="1"/>
  </r>
  <r>
    <n v="14"/>
    <s v="Chitakhevi"/>
    <x v="0"/>
    <n v="21"/>
    <s v="3x7"/>
    <x v="1"/>
    <n v="1949"/>
    <n v="1949"/>
    <x v="1"/>
  </r>
  <r>
    <n v="15"/>
    <s v="Atshesi"/>
    <x v="0"/>
    <n v="16"/>
    <s v="2x8"/>
    <x v="1"/>
    <n v="1937"/>
    <n v="1937"/>
    <x v="1"/>
  </r>
  <r>
    <n v="16"/>
    <s v="Satskhene"/>
    <x v="0"/>
    <n v="14"/>
    <s v="2x7"/>
    <x v="1"/>
    <n v="1992"/>
    <n v="1992"/>
    <x v="1"/>
  </r>
  <r>
    <n v="17"/>
    <s v="Khadori"/>
    <x v="0"/>
    <n v="26"/>
    <s v="2x12+2x1"/>
    <x v="1"/>
    <n v="2004"/>
    <n v="2004"/>
    <x v="1"/>
  </r>
  <r>
    <n v="18"/>
    <s v="Larsi"/>
    <x v="0"/>
    <n v="19.5"/>
    <s v="2x6.5"/>
    <x v="1"/>
    <n v="2014"/>
    <n v="2014"/>
    <x v="1"/>
  </r>
  <r>
    <n v="19"/>
    <s v="Paravani"/>
    <x v="0"/>
    <n v="87"/>
    <s v="2x43.27"/>
    <x v="1"/>
    <n v="2014"/>
    <n v="2014"/>
    <x v="1"/>
  </r>
  <r>
    <n v="20"/>
    <s v="Bjuja"/>
    <x v="0"/>
    <n v="12.2"/>
    <s v="3x4.08"/>
    <x v="3"/>
    <n v="1956"/>
    <n v="1956"/>
    <x v="1"/>
  </r>
  <r>
    <n v="21"/>
    <s v="Tetrikhevi"/>
    <x v="0"/>
    <n v="13.6"/>
    <s v="2x6.8"/>
    <x v="3"/>
    <n v="1952"/>
    <n v="1952"/>
    <x v="1"/>
  </r>
  <r>
    <n v="22"/>
    <s v="Alazani"/>
    <x v="0"/>
    <n v="4.8"/>
    <s v="2x2.4"/>
    <x v="3"/>
    <n v="1942"/>
    <n v="1942"/>
    <x v="1"/>
  </r>
  <r>
    <n v="23"/>
    <s v="Abhesi"/>
    <x v="0"/>
    <n v="2.0099999999999998"/>
    <s v="1x0.888+2x0.56"/>
    <x v="3"/>
    <n v="1928"/>
    <n v="1928"/>
    <x v="1"/>
  </r>
  <r>
    <n v="24"/>
    <s v="Sioni"/>
    <x v="0"/>
    <n v="9.1"/>
    <s v="2x4.57"/>
    <x v="3"/>
    <n v="1964"/>
    <n v="1964"/>
    <x v="1"/>
  </r>
  <r>
    <n v="25"/>
    <s v="Ritseula"/>
    <x v="0"/>
    <n v="6.3"/>
    <s v="1x3.816+2x1.296"/>
    <x v="3"/>
    <n v="1967"/>
    <n v="1967"/>
    <x v="1"/>
  </r>
  <r>
    <n v="26"/>
    <s v="Chala"/>
    <x v="0"/>
    <n v="1.5"/>
    <s v="1x1.5"/>
    <x v="3"/>
    <n v="1941"/>
    <n v="1941"/>
    <x v="1"/>
  </r>
  <r>
    <n v="27"/>
    <s v="Chkhori"/>
    <x v="0"/>
    <n v="5.4"/>
    <s v="1x2.9+1x2.45"/>
    <x v="3"/>
    <n v="1967"/>
    <n v="1967"/>
    <x v="1"/>
  </r>
  <r>
    <n v="28"/>
    <s v="Dashbashi"/>
    <x v="0"/>
    <n v="1.3"/>
    <s v="3x0.42"/>
    <x v="3"/>
    <n v="1935"/>
    <n v="1935"/>
    <x v="1"/>
  </r>
  <r>
    <n v="29"/>
    <s v="Mashavera"/>
    <x v="0"/>
    <n v="0.8"/>
    <s v="1x0.8"/>
    <x v="3"/>
    <n v="1949"/>
    <n v="1949"/>
    <x v="1"/>
  </r>
  <r>
    <n v="30"/>
    <s v="Kabala"/>
    <x v="0"/>
    <n v="1.5"/>
    <s v="3x0.45"/>
    <x v="3"/>
    <n v="1953"/>
    <n v="1953"/>
    <x v="1"/>
  </r>
  <r>
    <n v="31"/>
    <s v="Kakhareti"/>
    <x v="0"/>
    <n v="2.1"/>
    <s v="2x1.04"/>
    <x v="3"/>
    <n v="1957"/>
    <n v="1957"/>
    <x v="1"/>
  </r>
  <r>
    <n v="32"/>
    <s v="Martkopi"/>
    <x v="0"/>
    <n v="3.9"/>
    <s v="1x3.87"/>
    <x v="3"/>
    <n v="1952"/>
    <n v="1952"/>
    <x v="1"/>
  </r>
  <r>
    <n v="33"/>
    <s v="Intsoba"/>
    <x v="0"/>
    <n v="1.8"/>
    <s v="1x0.6+2x0.6"/>
    <x v="3"/>
    <n v="1998"/>
    <n v="1998"/>
    <x v="1"/>
  </r>
  <r>
    <n v="34"/>
    <s v="Kazbegi 2"/>
    <x v="0"/>
    <n v="0.38"/>
    <s v="2x0.19"/>
    <x v="3"/>
    <n v="1951"/>
    <n v="1951"/>
    <x v="1"/>
  </r>
  <r>
    <n v="35"/>
    <s v="Energetiki"/>
    <x v="0"/>
    <n v="0.59"/>
    <s v="1x0.59"/>
    <x v="3"/>
    <n v="2006"/>
    <n v="2006"/>
    <x v="1"/>
  </r>
  <r>
    <n v="36"/>
    <s v="Algeta"/>
    <x v="0"/>
    <n v="1.3"/>
    <s v="1x1+1x0.25"/>
    <x v="3"/>
    <n v="2006"/>
    <n v="2006"/>
    <x v="1"/>
  </r>
  <r>
    <n v="37"/>
    <s v="Matchakhela"/>
    <x v="0"/>
    <n v="1.6"/>
    <s v="2x0.8"/>
    <x v="3"/>
    <n v="1957"/>
    <n v="1957"/>
    <x v="1"/>
  </r>
  <r>
    <n v="38"/>
    <s v="Misaktsieli"/>
    <x v="0"/>
    <n v="3"/>
    <s v="1x2+1x1"/>
    <x v="3"/>
    <n v="1964"/>
    <n v="1964"/>
    <x v="1"/>
  </r>
  <r>
    <n v="39"/>
    <s v="Skuri"/>
    <x v="0"/>
    <n v="1"/>
    <m/>
    <x v="3"/>
    <n v="1958"/>
    <n v="1958"/>
    <x v="1"/>
  </r>
  <r>
    <n v="40"/>
    <s v="Tiriponi"/>
    <x v="0"/>
    <n v="3.2"/>
    <s v="2x1.6"/>
    <x v="3"/>
    <n v="1951"/>
    <n v="1951"/>
    <x v="1"/>
  </r>
  <r>
    <n v="41"/>
    <s v="Khertvisi"/>
    <x v="0"/>
    <n v="0.3"/>
    <s v="2x0.152"/>
    <x v="3"/>
    <n v="1950"/>
    <n v="1950"/>
    <x v="1"/>
  </r>
  <r>
    <n v="42"/>
    <s v="Kinkisha"/>
    <x v="0"/>
    <n v="0.9"/>
    <s v="2x0.452"/>
    <x v="3"/>
    <n v="1954"/>
    <n v="1954"/>
    <x v="1"/>
  </r>
  <r>
    <n v="43"/>
    <s v="Atchi"/>
    <x v="0"/>
    <n v="1"/>
    <s v="1x0.74+1x0.288"/>
    <x v="3"/>
    <n v="1958"/>
    <n v="1958"/>
    <x v="1"/>
  </r>
  <r>
    <n v="44"/>
    <s v="Rustavi"/>
    <x v="0"/>
    <n v="0.5"/>
    <m/>
    <x v="3"/>
    <n v="2009"/>
    <n v="2009"/>
    <x v="1"/>
  </r>
  <r>
    <n v="45"/>
    <s v="Sulori"/>
    <x v="0"/>
    <n v="0.8"/>
    <m/>
    <x v="3"/>
    <n v="2009"/>
    <n v="2009"/>
    <x v="1"/>
  </r>
  <r>
    <n v="46"/>
    <s v="Okami"/>
    <x v="0"/>
    <n v="1.6"/>
    <m/>
    <x v="3"/>
    <n v="2009"/>
    <n v="2009"/>
    <x v="1"/>
  </r>
  <r>
    <n v="47"/>
    <s v="Boldoda"/>
    <x v="0"/>
    <n v="2.5"/>
    <m/>
    <x v="3"/>
    <n v="2009"/>
    <n v="2009"/>
    <x v="1"/>
  </r>
  <r>
    <n v="48"/>
    <s v="Zvareti"/>
    <x v="0"/>
    <n v="0.2"/>
    <m/>
    <x v="3"/>
    <n v="2010"/>
    <n v="2010"/>
    <x v="1"/>
  </r>
  <r>
    <n v="49"/>
    <s v="Pshavela"/>
    <x v="0"/>
    <n v="2.9"/>
    <s v="1x2.9"/>
    <x v="3"/>
    <s v="2010-2015"/>
    <n v="2015"/>
    <x v="1"/>
  </r>
  <r>
    <n v="50"/>
    <s v="Igoeti"/>
    <x v="0"/>
    <n v="2"/>
    <s v="1x0.525+1x1.25"/>
    <x v="3"/>
    <n v="1953"/>
    <n v="1953"/>
    <x v="1"/>
  </r>
  <r>
    <n v="51"/>
    <s v="Sanalia"/>
    <x v="0"/>
    <n v="5"/>
    <m/>
    <x v="3"/>
    <n v="2007"/>
    <n v="2007"/>
    <x v="1"/>
  </r>
  <r>
    <n v="52"/>
    <s v="Mini Khadori 1"/>
    <x v="0"/>
    <n v="0.1"/>
    <m/>
    <x v="3"/>
    <n v="2011"/>
    <n v="2011"/>
    <x v="1"/>
  </r>
  <r>
    <n v="53"/>
    <s v="Khadori 2"/>
    <x v="0"/>
    <n v="6"/>
    <s v="2x3"/>
    <x v="3"/>
    <n v="2012"/>
    <n v="2012"/>
    <x v="1"/>
  </r>
  <r>
    <n v="54"/>
    <s v="Khani"/>
    <x v="0"/>
    <n v="0.3"/>
    <m/>
    <x v="3"/>
    <n v="2012"/>
    <n v="2012"/>
    <x v="1"/>
  </r>
  <r>
    <n v="55"/>
    <s v="Racha"/>
    <x v="0"/>
    <n v="11"/>
    <s v="2x5.5"/>
    <x v="3"/>
    <n v="2013"/>
    <n v="2013"/>
    <x v="1"/>
  </r>
  <r>
    <n v="56"/>
    <s v="Dagva"/>
    <x v="0"/>
    <n v="0.1"/>
    <m/>
    <x v="3"/>
    <n v="2013"/>
    <n v="2013"/>
    <x v="1"/>
  </r>
  <r>
    <n v="57"/>
    <s v="Alazani 2"/>
    <x v="0"/>
    <n v="6"/>
    <s v="2x3"/>
    <x v="3"/>
    <n v="2013"/>
    <n v="2013"/>
    <x v="1"/>
  </r>
  <r>
    <n v="58"/>
    <s v="Shilda"/>
    <x v="0"/>
    <n v="5"/>
    <s v="2x2.5"/>
    <x v="3"/>
    <n v="2013"/>
    <n v="2013"/>
    <x v="1"/>
  </r>
  <r>
    <n v="59"/>
    <s v="Kazbegi"/>
    <x v="0"/>
    <n v="6"/>
    <s v="2x3"/>
    <x v="3"/>
    <n v="2014"/>
    <n v="2014"/>
    <x v="1"/>
  </r>
  <r>
    <n v="60"/>
    <s v="Bakhvi-3"/>
    <x v="0"/>
    <n v="10"/>
    <s v="2x4+1x2"/>
    <x v="3"/>
    <n v="2013"/>
    <n v="2013"/>
    <x v="1"/>
  </r>
  <r>
    <n v="61"/>
    <s v="Pantiani"/>
    <x v="0"/>
    <n v="0.4"/>
    <m/>
    <x v="3"/>
    <n v="2012"/>
    <n v="2012"/>
    <x v="1"/>
  </r>
  <r>
    <n v="62"/>
    <s v="Aragvi"/>
    <x v="0"/>
    <n v="8.5"/>
    <s v="2x4.7"/>
    <x v="3"/>
    <n v="2014"/>
    <n v="2014"/>
    <x v="1"/>
  </r>
  <r>
    <n v="63"/>
    <s v="Akhmeta"/>
    <x v="0"/>
    <n v="9.1"/>
    <s v="2x4.57"/>
    <x v="3"/>
    <n v="2014"/>
    <n v="2014"/>
    <x v="1"/>
  </r>
  <r>
    <n v="64"/>
    <s v="Pshavela"/>
    <x v="0"/>
    <n v="1.95"/>
    <m/>
    <x v="3"/>
    <n v="2015"/>
    <n v="2015"/>
    <x v="1"/>
  </r>
  <r>
    <n v="65"/>
    <s v="Kazreti"/>
    <x v="0"/>
    <n v="2.5"/>
    <m/>
    <x v="3"/>
    <n v="2014"/>
    <n v="2014"/>
    <x v="1"/>
  </r>
  <r>
    <n v="66"/>
    <s v="Debeda"/>
    <x v="0"/>
    <n v="3.2"/>
    <s v="2x1.6"/>
    <x v="3"/>
    <n v="2015"/>
    <n v="2015"/>
    <x v="1"/>
  </r>
  <r>
    <n v="67"/>
    <s v="Shakshaheti"/>
    <x v="0"/>
    <n v="1.9"/>
    <s v="1x1.9"/>
    <x v="3"/>
    <n v="2014"/>
    <n v="2014"/>
    <x v="1"/>
  </r>
  <r>
    <n v="68"/>
    <s v="Maksania"/>
    <x v="0"/>
    <n v="0.315"/>
    <s v="1x0.315"/>
    <x v="3"/>
    <n v="2017"/>
    <n v="2017"/>
    <x v="1"/>
  </r>
  <r>
    <n v="69"/>
    <s v="Dariali"/>
    <x v="0"/>
    <n v="108"/>
    <s v="3x36"/>
    <x v="1"/>
    <n v="2016"/>
    <n v="2016"/>
    <x v="1"/>
  </r>
  <r>
    <n v="70"/>
    <s v="Saguramo"/>
    <x v="0"/>
    <n v="4.2"/>
    <s v="2x2.25"/>
    <x v="1"/>
    <n v="2016"/>
    <n v="2016"/>
    <x v="1"/>
  </r>
  <r>
    <n v="71"/>
    <s v="Khelvachauri"/>
    <x v="0"/>
    <n v="47.48"/>
    <s v="5x9,1+1x1.98"/>
    <x v="2"/>
    <n v="2016"/>
    <n v="2016"/>
    <x v="1"/>
  </r>
  <r>
    <n v="72"/>
    <s v="Marneuli"/>
    <x v="0"/>
    <n v="0.25"/>
    <s v="1x0.25"/>
    <x v="3"/>
    <n v="2016"/>
    <n v="2016"/>
    <x v="1"/>
  </r>
  <r>
    <n v="73"/>
    <s v="Shuakhevi"/>
    <x v="0"/>
    <n v="178.72"/>
    <s v="2x89.36"/>
    <x v="2"/>
    <n v="2017"/>
    <n v="2017"/>
    <x v="1"/>
  </r>
  <r>
    <n v="74"/>
    <s v="Goresha"/>
    <x v="0"/>
    <n v="0.125"/>
    <s v="1x0.125"/>
    <x v="3"/>
    <n v="2017"/>
    <n v="2017"/>
    <x v="1"/>
  </r>
  <r>
    <n v="75"/>
    <s v="Kintrisha"/>
    <x v="0"/>
    <n v="5.5"/>
    <s v="2x2.75"/>
    <x v="1"/>
    <n v="2017"/>
    <n v="2017"/>
    <x v="1"/>
  </r>
  <r>
    <n v="76"/>
    <s v="Nabeglavi"/>
    <x v="0"/>
    <n v="2"/>
    <s v="2x1"/>
    <x v="1"/>
    <n v="2017"/>
    <n v="2017"/>
    <x v="1"/>
  </r>
  <r>
    <n v="77"/>
    <s v="Skurididi"/>
    <x v="0"/>
    <n v="1.33"/>
    <s v="1x1.33"/>
    <x v="1"/>
    <n v="2018"/>
    <n v="2018"/>
    <x v="1"/>
  </r>
  <r>
    <n v="78"/>
    <s v="Shilda 1"/>
    <x v="0"/>
    <n v="1.2"/>
    <s v="1x1.2"/>
    <x v="1"/>
    <n v="2018"/>
    <n v="2018"/>
    <x v="1"/>
  </r>
  <r>
    <n v="79"/>
    <s v="Kheor"/>
    <x v="0"/>
    <n v="1.48"/>
    <s v="1x1.48"/>
    <x v="1"/>
    <n v="2018"/>
    <n v="2018"/>
    <x v="1"/>
  </r>
  <r>
    <n v="80"/>
    <s v="Bodorna"/>
    <x v="0"/>
    <n v="2.5"/>
    <s v="1x2.5"/>
    <x v="1"/>
    <n v="2018"/>
    <n v="2018"/>
    <x v="1"/>
  </r>
  <r>
    <n v="81"/>
    <s v="Kasleti 2"/>
    <x v="0"/>
    <n v="9.1"/>
    <s v="2x4.55"/>
    <x v="1"/>
    <n v="2018"/>
    <n v="2018"/>
    <x v="1"/>
  </r>
  <r>
    <n v="82"/>
    <s v="Jonouli 1 "/>
    <x v="0"/>
    <n v="1.85"/>
    <s v="1x1.85"/>
    <x v="1"/>
    <n v="2018"/>
    <n v="2018"/>
    <x v="1"/>
  </r>
  <r>
    <n v="83"/>
    <s v="Kirnati"/>
    <x v="0"/>
    <n v="51.22"/>
    <s v="4x12.33+1x1.9"/>
    <x v="2"/>
    <n v="2018"/>
    <n v="2018"/>
    <x v="1"/>
  </r>
  <r>
    <n v="84"/>
    <s v="Old Energy"/>
    <x v="0"/>
    <n v="21.39"/>
    <s v="3x7.13"/>
    <x v="1"/>
    <n v="2018"/>
    <n v="2018"/>
    <x v="1"/>
  </r>
  <r>
    <n v="85"/>
    <s v="Aragvi 2"/>
    <x v="0"/>
    <n v="1.95"/>
    <s v="1x1.95"/>
    <x v="1"/>
    <n v="2019"/>
    <n v="2019"/>
    <x v="1"/>
  </r>
  <r>
    <n v="86"/>
    <s v="Mestiachala 1"/>
    <x v="0"/>
    <n v="20"/>
    <s v="2x10"/>
    <x v="1"/>
    <n v="2019"/>
    <n v="2019"/>
    <x v="1"/>
  </r>
  <r>
    <n v="87"/>
    <s v="Mestiachala 2"/>
    <x v="0"/>
    <n v="30"/>
    <s v="3x10"/>
    <x v="1"/>
    <n v="2019"/>
    <n v="2019"/>
    <x v="1"/>
  </r>
  <r>
    <n v="88"/>
    <s v="Avani"/>
    <x v="0"/>
    <n v="3.5"/>
    <s v="2x1.75"/>
    <x v="1"/>
    <n v="2019"/>
    <n v="2019"/>
    <x v="1"/>
  </r>
  <r>
    <n v="89"/>
    <s v="Oro"/>
    <x v="0"/>
    <n v="1.1200000000000001"/>
    <s v="1x1.12"/>
    <x v="1"/>
    <n v="2019"/>
    <n v="2019"/>
    <x v="1"/>
  </r>
  <r>
    <n v="90"/>
    <s v="Chapala"/>
    <x v="0"/>
    <n v="0.43"/>
    <s v="1x0.43"/>
    <x v="1"/>
    <n v="2020"/>
    <n v="2020"/>
    <x v="1"/>
  </r>
  <r>
    <n v="91"/>
    <s v="Khelra"/>
    <x v="0"/>
    <n v="3.38"/>
    <s v="2x1.69"/>
    <x v="1"/>
    <n v="2020"/>
    <n v="2020"/>
    <x v="1"/>
  </r>
  <r>
    <n v="92"/>
    <s v="Ifari"/>
    <x v="0"/>
    <n v="2.98"/>
    <s v="2x1.49"/>
    <x v="1"/>
    <n v="2020"/>
    <n v="2020"/>
    <x v="1"/>
  </r>
  <r>
    <n v="93"/>
    <s v="Dzama"/>
    <x v="0"/>
    <n v="0.81100000000000005"/>
    <s v="2x0.405"/>
    <x v="1"/>
    <n v="2020"/>
    <n v="2020"/>
    <x v="1"/>
  </r>
  <r>
    <n v="94"/>
    <s v="Sashuala 2"/>
    <x v="0"/>
    <n v="5"/>
    <s v="1x5"/>
    <x v="1"/>
    <n v="2020"/>
    <n v="2020"/>
    <x v="1"/>
  </r>
  <r>
    <n v="95"/>
    <s v="Lakhami 2"/>
    <x v="0"/>
    <n v="9.5"/>
    <m/>
    <x v="1"/>
    <n v="2020"/>
    <n v="2020"/>
    <x v="1"/>
  </r>
  <r>
    <n v="96"/>
    <s v="Lakhami 1"/>
    <x v="0"/>
    <n v="7"/>
    <s v="2x3.5"/>
    <x v="1"/>
    <n v="2020"/>
    <n v="2020"/>
    <x v="1"/>
  </r>
  <r>
    <n v="97"/>
    <s v="Sashuala 1"/>
    <x v="0"/>
    <n v="7.5"/>
    <s v="1x7.5"/>
    <x v="1"/>
    <n v="2021"/>
    <n v="2021"/>
    <x v="1"/>
  </r>
  <r>
    <n v="98"/>
    <s v="Skhalta"/>
    <x v="0"/>
    <n v="9"/>
    <s v="3x3"/>
    <x v="1"/>
    <n v="2021"/>
    <n v="2021"/>
    <x v="1"/>
  </r>
  <r>
    <n v="99"/>
    <s v="Tbilisi Sea"/>
    <x v="0"/>
    <n v="0.6"/>
    <n v="0.6"/>
    <x v="1"/>
    <n v="2021"/>
    <n v="2021"/>
    <x v="1"/>
  </r>
  <r>
    <n v="100"/>
    <s v="Dvirula"/>
    <x v="0"/>
    <n v="2"/>
    <m/>
    <x v="1"/>
    <n v="2021"/>
    <n v="2021"/>
    <x v="1"/>
  </r>
  <r>
    <n v="101"/>
    <s v="Khrami"/>
    <x v="0"/>
    <n v="1.1299999999999999"/>
    <m/>
    <x v="1"/>
    <n v="2021"/>
    <n v="2021"/>
    <x v="1"/>
  </r>
  <r>
    <n v="102"/>
    <s v="Roshka 2"/>
    <x v="0"/>
    <n v="1.99"/>
    <m/>
    <x v="1"/>
    <n v="2021"/>
    <n v="2021"/>
    <x v="1"/>
  </r>
  <r>
    <n v="103"/>
    <s v="Roshka 3"/>
    <x v="0"/>
    <n v="1"/>
    <m/>
    <x v="1"/>
    <n v="2021"/>
    <n v="2021"/>
    <x v="1"/>
  </r>
  <r>
    <n v="104"/>
    <s v="Akhatani"/>
    <x v="0"/>
    <n v="0.6"/>
    <s v="2x0.3"/>
    <x v="1"/>
    <n v="2021"/>
    <n v="2021"/>
    <x v="1"/>
  </r>
  <r>
    <n v="105"/>
    <s v="GOGC No. 9"/>
    <x v="1"/>
    <n v="300"/>
    <s v="1x300"/>
    <x v="4"/>
    <n v="1991"/>
    <n v="1991"/>
    <x v="0"/>
  </r>
  <r>
    <n v="106"/>
    <s v="GOGC No. 3 and 4"/>
    <x v="1"/>
    <n v="272"/>
    <s v="130+142"/>
    <x v="4"/>
    <n v="1963"/>
    <n v="1963"/>
    <x v="0"/>
  </r>
  <r>
    <n v="107"/>
    <s v="Gas Turbine"/>
    <x v="2"/>
    <n v="110"/>
    <s v="2x55"/>
    <x v="4"/>
    <n v="2006"/>
    <n v="2006"/>
    <x v="1"/>
  </r>
  <r>
    <n v="108"/>
    <s v="Tkibuli Coal TPP"/>
    <x v="3"/>
    <n v="13"/>
    <s v="2x6.5"/>
    <x v="4"/>
    <n v="2011"/>
    <n v="2011"/>
    <x v="1"/>
  </r>
  <r>
    <n v="109"/>
    <s v="Gardabani"/>
    <x v="1"/>
    <n v="230"/>
    <s v="2x75+80"/>
    <x v="4"/>
    <n v="2015"/>
    <n v="2015"/>
    <x v="0"/>
  </r>
  <r>
    <n v="110"/>
    <s v="TPP (Rustavi Azoti)"/>
    <x v="4"/>
    <n v="9.1"/>
    <n v="9.1"/>
    <x v="4"/>
    <n v="2020"/>
    <n v="2020"/>
    <x v="0"/>
  </r>
  <r>
    <n v="111"/>
    <s v="Gardabani 2"/>
    <x v="1"/>
    <n v="255"/>
    <s v="2x84+87"/>
    <x v="4"/>
    <n v="2020"/>
    <n v="2020"/>
    <x v="0"/>
  </r>
  <r>
    <n v="112"/>
    <s v="Wind Farm"/>
    <x v="5"/>
    <n v="20.7"/>
    <s v="6x3.45"/>
    <x v="5"/>
    <n v="2016"/>
    <n v="201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5225D-FBFE-4250-978A-3BE5B727387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9">
    <pivotField showAll="0"/>
    <pivotField showAll="0"/>
    <pivotField axis="axisRow" showAll="0">
      <items count="7">
        <item x="1"/>
        <item x="3"/>
        <item x="2"/>
        <item x="0"/>
        <item x="4"/>
        <item x="5"/>
        <item t="default"/>
      </items>
    </pivotField>
    <pivotField dataField="1" showAll="0"/>
    <pivotField showAll="0"/>
    <pivotField showAll="0">
      <items count="7">
        <item x="2"/>
        <item x="0"/>
        <item x="1"/>
        <item x="3"/>
        <item x="4"/>
        <item x="5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</pivotFields>
  <rowFields count="2">
    <field x="2"/>
    <field x="8"/>
  </rowFields>
  <rowItems count="14">
    <i>
      <x/>
    </i>
    <i r="1">
      <x v="1"/>
    </i>
    <i>
      <x v="1"/>
    </i>
    <i r="1">
      <x/>
    </i>
    <i>
      <x v="2"/>
    </i>
    <i r="1">
      <x/>
    </i>
    <i>
      <x v="3"/>
    </i>
    <i r="1">
      <x/>
    </i>
    <i r="1">
      <x v="1"/>
    </i>
    <i>
      <x v="4"/>
    </i>
    <i r="1">
      <x v="1"/>
    </i>
    <i>
      <x v="5"/>
    </i>
    <i r="1">
      <x/>
    </i>
    <i t="grand">
      <x/>
    </i>
  </rowItems>
  <colItems count="1">
    <i/>
  </colItems>
  <dataFields count="1">
    <dataField name="Sum of Capacity (MW)" fld="3" baseField="8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198F-C0FF-4C1C-96E0-CFDA4C9CB758}">
  <dimension ref="A4:CW13"/>
  <sheetViews>
    <sheetView zoomScale="70" zoomScaleNormal="70" workbookViewId="0">
      <pane xSplit="3" ySplit="5" topLeftCell="BC6" activePane="bottomRight" state="frozen"/>
      <selection pane="topRight" activeCell="E1" sqref="E1"/>
      <selection pane="bottomLeft" activeCell="A6" sqref="A6"/>
      <selection pane="bottomRight" activeCell="B4" sqref="B4"/>
    </sheetView>
  </sheetViews>
  <sheetFormatPr defaultColWidth="9.140625" defaultRowHeight="15" x14ac:dyDescent="0.25"/>
  <cols>
    <col min="1" max="1" width="2.7109375" style="6" customWidth="1"/>
    <col min="2" max="2" width="28.42578125" style="6" customWidth="1"/>
    <col min="3" max="3" width="9.140625" style="6"/>
    <col min="4" max="54" width="9.28515625" style="6" bestFit="1" customWidth="1"/>
    <col min="55" max="97" width="10.28515625" style="6" bestFit="1" customWidth="1"/>
    <col min="98" max="98" width="10.28515625" style="6" customWidth="1"/>
    <col min="99" max="16384" width="9.140625" style="6"/>
  </cols>
  <sheetData>
    <row r="4" spans="1:101" s="1" customFormat="1" ht="31.5" customHeight="1" thickBot="1" x14ac:dyDescent="0.3">
      <c r="A4" s="8"/>
      <c r="B4" s="3"/>
      <c r="C4" s="9" t="s">
        <v>220</v>
      </c>
      <c r="D4" s="2">
        <v>1927</v>
      </c>
      <c r="E4" s="2">
        <v>1928</v>
      </c>
      <c r="F4" s="4">
        <v>1929</v>
      </c>
      <c r="G4" s="5">
        <v>1930</v>
      </c>
      <c r="H4" s="5">
        <v>1931</v>
      </c>
      <c r="I4" s="5">
        <v>1932</v>
      </c>
      <c r="J4" s="5">
        <v>1933</v>
      </c>
      <c r="K4" s="5">
        <v>1934</v>
      </c>
      <c r="L4" s="5">
        <v>1935</v>
      </c>
      <c r="M4" s="5">
        <v>1936</v>
      </c>
      <c r="N4" s="5">
        <v>1937</v>
      </c>
      <c r="O4" s="5">
        <v>1938</v>
      </c>
      <c r="P4" s="5">
        <v>1939</v>
      </c>
      <c r="Q4" s="2">
        <v>1940</v>
      </c>
      <c r="R4" s="2">
        <v>1941</v>
      </c>
      <c r="S4" s="2">
        <v>1942</v>
      </c>
      <c r="T4" s="2">
        <v>1943</v>
      </c>
      <c r="U4" s="2">
        <v>1944</v>
      </c>
      <c r="V4" s="2">
        <v>1945</v>
      </c>
      <c r="W4" s="2">
        <v>1946</v>
      </c>
      <c r="X4" s="2">
        <v>1947</v>
      </c>
      <c r="Y4" s="2">
        <v>1948</v>
      </c>
      <c r="Z4" s="2">
        <v>1949</v>
      </c>
      <c r="AA4" s="2">
        <v>1950</v>
      </c>
      <c r="AB4" s="2">
        <v>1951</v>
      </c>
      <c r="AC4" s="2">
        <v>1952</v>
      </c>
      <c r="AD4" s="2">
        <v>1953</v>
      </c>
      <c r="AE4" s="2">
        <v>1954</v>
      </c>
      <c r="AF4" s="2">
        <v>1955</v>
      </c>
      <c r="AG4" s="2">
        <v>1956</v>
      </c>
      <c r="AH4" s="2">
        <v>1957</v>
      </c>
      <c r="AI4" s="2">
        <v>1958</v>
      </c>
      <c r="AJ4" s="2">
        <v>1959</v>
      </c>
      <c r="AK4" s="2">
        <v>1960</v>
      </c>
      <c r="AL4" s="2">
        <v>1961</v>
      </c>
      <c r="AM4" s="2">
        <v>1962</v>
      </c>
      <c r="AN4" s="2">
        <v>1963</v>
      </c>
      <c r="AO4" s="2">
        <v>1964</v>
      </c>
      <c r="AP4" s="2">
        <v>1965</v>
      </c>
      <c r="AQ4" s="2">
        <v>1966</v>
      </c>
      <c r="AR4" s="2">
        <v>1967</v>
      </c>
      <c r="AS4" s="2">
        <v>1968</v>
      </c>
      <c r="AT4" s="2">
        <v>1969</v>
      </c>
      <c r="AU4" s="2">
        <v>1970</v>
      </c>
      <c r="AV4" s="2">
        <v>1971</v>
      </c>
      <c r="AW4" s="2">
        <v>1972</v>
      </c>
      <c r="AX4" s="2">
        <v>1973</v>
      </c>
      <c r="AY4" s="2">
        <v>1974</v>
      </c>
      <c r="AZ4" s="2">
        <v>1975</v>
      </c>
      <c r="BA4" s="2">
        <v>1976</v>
      </c>
      <c r="BB4" s="2">
        <v>1977</v>
      </c>
      <c r="BC4" s="2">
        <v>1978</v>
      </c>
      <c r="BD4" s="2">
        <v>1979</v>
      </c>
      <c r="BE4" s="2">
        <v>1980</v>
      </c>
      <c r="BF4" s="2">
        <v>1981</v>
      </c>
      <c r="BG4" s="2">
        <v>1982</v>
      </c>
      <c r="BH4" s="2">
        <v>1983</v>
      </c>
      <c r="BI4" s="2">
        <v>1984</v>
      </c>
      <c r="BJ4" s="2">
        <v>1985</v>
      </c>
      <c r="BK4" s="2">
        <v>1986</v>
      </c>
      <c r="BL4" s="2">
        <v>1987</v>
      </c>
      <c r="BM4" s="2">
        <v>1988</v>
      </c>
      <c r="BN4" s="2">
        <v>1989</v>
      </c>
      <c r="BO4" s="2">
        <v>1990</v>
      </c>
      <c r="BP4" s="2">
        <v>1991</v>
      </c>
      <c r="BQ4" s="2">
        <v>1992</v>
      </c>
      <c r="BR4" s="2">
        <v>1993</v>
      </c>
      <c r="BS4" s="2">
        <v>1994</v>
      </c>
      <c r="BT4" s="2">
        <v>1995</v>
      </c>
      <c r="BU4" s="2">
        <v>1996</v>
      </c>
      <c r="BV4" s="2">
        <v>1997</v>
      </c>
      <c r="BW4" s="2">
        <v>1998</v>
      </c>
      <c r="BX4" s="2">
        <v>1999</v>
      </c>
      <c r="BY4" s="2">
        <v>2000</v>
      </c>
      <c r="BZ4" s="2">
        <v>2001</v>
      </c>
      <c r="CA4" s="2">
        <v>2002</v>
      </c>
      <c r="CB4" s="2">
        <v>2003</v>
      </c>
      <c r="CC4" s="2">
        <v>2004</v>
      </c>
      <c r="CD4" s="2">
        <v>2005</v>
      </c>
      <c r="CE4" s="2">
        <v>2006</v>
      </c>
      <c r="CF4" s="2">
        <v>2007</v>
      </c>
      <c r="CG4" s="2">
        <v>2008</v>
      </c>
      <c r="CH4" s="2">
        <v>2009</v>
      </c>
      <c r="CI4" s="2">
        <v>2010</v>
      </c>
      <c r="CJ4" s="2">
        <v>2011</v>
      </c>
      <c r="CK4" s="2">
        <v>2012</v>
      </c>
      <c r="CL4" s="2">
        <v>2013</v>
      </c>
      <c r="CM4" s="2">
        <v>2014</v>
      </c>
      <c r="CN4" s="2">
        <v>2015</v>
      </c>
      <c r="CO4" s="2">
        <v>2016</v>
      </c>
      <c r="CP4" s="2">
        <v>2017</v>
      </c>
      <c r="CQ4" s="2">
        <v>2018</v>
      </c>
      <c r="CR4" s="2">
        <v>2019</v>
      </c>
      <c r="CS4" s="2">
        <v>2020</v>
      </c>
      <c r="CT4" s="2">
        <v>2021</v>
      </c>
      <c r="CU4" s="2"/>
      <c r="CV4" s="17" t="s">
        <v>127</v>
      </c>
      <c r="CW4" s="2"/>
    </row>
    <row r="5" spans="1:101" s="1" customFormat="1" x14ac:dyDescent="0.25">
      <c r="A5" s="15"/>
      <c r="B5" s="10"/>
      <c r="C5" s="11"/>
      <c r="D5" s="12"/>
      <c r="E5" s="12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</row>
    <row r="6" spans="1:101" x14ac:dyDescent="0.25">
      <c r="B6" s="6" t="s">
        <v>215</v>
      </c>
      <c r="C6" s="6" t="s">
        <v>221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113.5</v>
      </c>
      <c r="Y6" s="16">
        <v>113.5</v>
      </c>
      <c r="Z6" s="16">
        <v>113.5</v>
      </c>
      <c r="AA6" s="16">
        <v>113.5</v>
      </c>
      <c r="AB6" s="16">
        <v>113.5</v>
      </c>
      <c r="AC6" s="16">
        <v>113.5</v>
      </c>
      <c r="AD6" s="16">
        <v>113.5</v>
      </c>
      <c r="AE6" s="16">
        <v>113.5</v>
      </c>
      <c r="AF6" s="16">
        <v>151.9</v>
      </c>
      <c r="AG6" s="16">
        <v>231.9</v>
      </c>
      <c r="AH6" s="16">
        <v>231.9</v>
      </c>
      <c r="AI6" s="16">
        <v>231.9</v>
      </c>
      <c r="AJ6" s="16">
        <v>231.9</v>
      </c>
      <c r="AK6" s="16">
        <v>231.9</v>
      </c>
      <c r="AL6" s="16">
        <v>231.9</v>
      </c>
      <c r="AM6" s="16">
        <v>231.9</v>
      </c>
      <c r="AN6" s="16">
        <v>341.9</v>
      </c>
      <c r="AO6" s="16">
        <v>341.9</v>
      </c>
      <c r="AP6" s="16">
        <v>341.9</v>
      </c>
      <c r="AQ6" s="16">
        <v>341.9</v>
      </c>
      <c r="AR6" s="16">
        <v>341.9</v>
      </c>
      <c r="AS6" s="16">
        <v>341.9</v>
      </c>
      <c r="AT6" s="16">
        <v>341.9</v>
      </c>
      <c r="AU6" s="16">
        <v>341.9</v>
      </c>
      <c r="AV6" s="16">
        <v>561.9</v>
      </c>
      <c r="AW6" s="16">
        <v>561.9</v>
      </c>
      <c r="AX6" s="16">
        <v>561.9</v>
      </c>
      <c r="AY6" s="16">
        <v>561.9</v>
      </c>
      <c r="AZ6" s="16">
        <v>561.9</v>
      </c>
      <c r="BA6" s="16">
        <v>561.9</v>
      </c>
      <c r="BB6" s="16">
        <v>561.9</v>
      </c>
      <c r="BC6" s="16">
        <v>1861.9</v>
      </c>
      <c r="BD6" s="16">
        <v>1861.9</v>
      </c>
      <c r="BE6" s="16">
        <v>1861.9</v>
      </c>
      <c r="BF6" s="16">
        <v>1861.9</v>
      </c>
      <c r="BG6" s="16">
        <v>1861.9</v>
      </c>
      <c r="BH6" s="16">
        <v>1861.9</v>
      </c>
      <c r="BI6" s="16">
        <v>1991.9</v>
      </c>
      <c r="BJ6" s="16">
        <v>1991.9</v>
      </c>
      <c r="BK6" s="16">
        <v>1991.9</v>
      </c>
      <c r="BL6" s="16">
        <v>1991.9</v>
      </c>
      <c r="BM6" s="16">
        <v>1991.9</v>
      </c>
      <c r="BN6" s="16">
        <v>1991.9</v>
      </c>
      <c r="BO6" s="16">
        <v>1991.9</v>
      </c>
      <c r="BP6" s="16">
        <v>1991.9</v>
      </c>
      <c r="BQ6" s="16">
        <v>1991.9</v>
      </c>
      <c r="BR6" s="16">
        <v>1991.9</v>
      </c>
      <c r="BS6" s="16">
        <v>1991.9</v>
      </c>
      <c r="BT6" s="16">
        <v>1991.9</v>
      </c>
      <c r="BU6" s="16">
        <v>1991.9</v>
      </c>
      <c r="BV6" s="16">
        <v>1991.9</v>
      </c>
      <c r="BW6" s="16">
        <v>1991.9</v>
      </c>
      <c r="BX6" s="16">
        <v>1991.9</v>
      </c>
      <c r="BY6" s="16">
        <v>1991.9</v>
      </c>
      <c r="BZ6" s="16">
        <v>1991.9</v>
      </c>
      <c r="CA6" s="16">
        <v>1991.9</v>
      </c>
      <c r="CB6" s="16">
        <v>1991.9</v>
      </c>
      <c r="CC6" s="16">
        <v>1991.9</v>
      </c>
      <c r="CD6" s="16">
        <v>1991.9</v>
      </c>
      <c r="CE6" s="16">
        <v>1991.9</v>
      </c>
      <c r="CF6" s="16">
        <v>1991.9</v>
      </c>
      <c r="CG6" s="16">
        <v>1991.9</v>
      </c>
      <c r="CH6" s="16">
        <v>1991.9</v>
      </c>
      <c r="CI6" s="16">
        <v>1991.9</v>
      </c>
      <c r="CJ6" s="16">
        <v>1991.9</v>
      </c>
      <c r="CK6" s="16">
        <v>1991.9</v>
      </c>
      <c r="CL6" s="16">
        <v>1991.9</v>
      </c>
      <c r="CM6" s="16">
        <v>1991.9</v>
      </c>
      <c r="CN6" s="16">
        <v>1991.9</v>
      </c>
      <c r="CO6" s="16">
        <v>1991.9</v>
      </c>
      <c r="CP6" s="16">
        <v>1991.9</v>
      </c>
      <c r="CQ6" s="16">
        <v>1991.9</v>
      </c>
      <c r="CR6" s="16">
        <v>1991.9</v>
      </c>
      <c r="CS6" s="16">
        <v>1991.9</v>
      </c>
      <c r="CT6" s="16">
        <v>1991.9</v>
      </c>
      <c r="CV6" s="6" t="s">
        <v>222</v>
      </c>
    </row>
    <row r="7" spans="1:101" x14ac:dyDescent="0.25">
      <c r="B7" s="6" t="s">
        <v>216</v>
      </c>
      <c r="C7" s="6" t="s">
        <v>221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111.8</v>
      </c>
      <c r="AL7" s="16">
        <v>111.8</v>
      </c>
      <c r="AM7" s="16">
        <v>111.8</v>
      </c>
      <c r="AN7" s="16">
        <v>111.8</v>
      </c>
      <c r="AO7" s="16">
        <v>111.8</v>
      </c>
      <c r="AP7" s="16">
        <v>111.8</v>
      </c>
      <c r="AQ7" s="16">
        <v>111.8</v>
      </c>
      <c r="AR7" s="16">
        <v>111.8</v>
      </c>
      <c r="AS7" s="16">
        <v>111.8</v>
      </c>
      <c r="AT7" s="16">
        <v>111.8</v>
      </c>
      <c r="AU7" s="16">
        <v>111.8</v>
      </c>
      <c r="AV7" s="16">
        <v>111.8</v>
      </c>
      <c r="AW7" s="16">
        <v>111.8</v>
      </c>
      <c r="AX7" s="16">
        <v>111.8</v>
      </c>
      <c r="AY7" s="16">
        <v>111.8</v>
      </c>
      <c r="AZ7" s="16">
        <v>111.8</v>
      </c>
      <c r="BA7" s="16">
        <v>111.8</v>
      </c>
      <c r="BB7" s="16">
        <v>111.8</v>
      </c>
      <c r="BC7" s="16">
        <v>111.8</v>
      </c>
      <c r="BD7" s="16">
        <v>111.8</v>
      </c>
      <c r="BE7" s="16">
        <v>111.8</v>
      </c>
      <c r="BF7" s="16">
        <v>111.8</v>
      </c>
      <c r="BG7" s="16">
        <v>111.8</v>
      </c>
      <c r="BH7" s="16">
        <v>111.8</v>
      </c>
      <c r="BI7" s="16">
        <v>111.8</v>
      </c>
      <c r="BJ7" s="16">
        <v>111.8</v>
      </c>
      <c r="BK7" s="16">
        <v>111.8</v>
      </c>
      <c r="BL7" s="16">
        <v>111.8</v>
      </c>
      <c r="BM7" s="16">
        <v>111.8</v>
      </c>
      <c r="BN7" s="16">
        <v>111.8</v>
      </c>
      <c r="BO7" s="16">
        <v>111.8</v>
      </c>
      <c r="BP7" s="16">
        <v>111.8</v>
      </c>
      <c r="BQ7" s="16">
        <v>111.8</v>
      </c>
      <c r="BR7" s="16">
        <v>111.8</v>
      </c>
      <c r="BS7" s="16">
        <v>111.8</v>
      </c>
      <c r="BT7" s="16">
        <v>111.8</v>
      </c>
      <c r="BU7" s="16">
        <v>111.8</v>
      </c>
      <c r="BV7" s="16">
        <v>111.8</v>
      </c>
      <c r="BW7" s="16">
        <v>111.8</v>
      </c>
      <c r="BX7" s="16">
        <v>111.8</v>
      </c>
      <c r="BY7" s="16">
        <v>111.8</v>
      </c>
      <c r="BZ7" s="16">
        <v>111.8</v>
      </c>
      <c r="CA7" s="16">
        <v>111.8</v>
      </c>
      <c r="CB7" s="16">
        <v>111.8</v>
      </c>
      <c r="CC7" s="16">
        <v>111.8</v>
      </c>
      <c r="CD7" s="16">
        <v>111.8</v>
      </c>
      <c r="CE7" s="16">
        <v>111.8</v>
      </c>
      <c r="CF7" s="16">
        <v>111.8</v>
      </c>
      <c r="CG7" s="16">
        <v>111.8</v>
      </c>
      <c r="CH7" s="16">
        <v>111.8</v>
      </c>
      <c r="CI7" s="16">
        <v>111.8</v>
      </c>
      <c r="CJ7" s="16">
        <v>111.8</v>
      </c>
      <c r="CK7" s="16">
        <v>111.8</v>
      </c>
      <c r="CL7" s="16">
        <v>111.8</v>
      </c>
      <c r="CM7" s="16">
        <v>111.8</v>
      </c>
      <c r="CN7" s="16">
        <v>111.8</v>
      </c>
      <c r="CO7" s="16">
        <v>159.28</v>
      </c>
      <c r="CP7" s="16">
        <v>338</v>
      </c>
      <c r="CQ7" s="16">
        <v>389.22</v>
      </c>
      <c r="CR7" s="16">
        <v>389.22</v>
      </c>
      <c r="CS7" s="16">
        <v>389.22</v>
      </c>
      <c r="CT7" s="16">
        <v>389.22</v>
      </c>
      <c r="CV7" s="6" t="s">
        <v>222</v>
      </c>
    </row>
    <row r="8" spans="1:101" x14ac:dyDescent="0.25">
      <c r="B8" s="6" t="s">
        <v>16</v>
      </c>
      <c r="C8" s="6" t="s">
        <v>221</v>
      </c>
      <c r="D8" s="16">
        <v>36.799999999999997</v>
      </c>
      <c r="E8" s="16">
        <v>36.799999999999997</v>
      </c>
      <c r="F8" s="16">
        <v>36.799999999999997</v>
      </c>
      <c r="G8" s="16">
        <v>36.799999999999997</v>
      </c>
      <c r="H8" s="16">
        <v>36.799999999999997</v>
      </c>
      <c r="I8" s="16">
        <v>36.799999999999997</v>
      </c>
      <c r="J8" s="16">
        <v>84.8</v>
      </c>
      <c r="K8" s="16">
        <v>84.8</v>
      </c>
      <c r="L8" s="16">
        <v>84.8</v>
      </c>
      <c r="M8" s="16">
        <v>84.8</v>
      </c>
      <c r="N8" s="16">
        <v>100.8</v>
      </c>
      <c r="O8" s="16">
        <v>100.8</v>
      </c>
      <c r="P8" s="16">
        <v>100.8</v>
      </c>
      <c r="Q8" s="16">
        <v>100.8</v>
      </c>
      <c r="R8" s="16">
        <v>100.8</v>
      </c>
      <c r="S8" s="16">
        <v>100.8</v>
      </c>
      <c r="T8" s="16">
        <v>100.8</v>
      </c>
      <c r="U8" s="16">
        <v>100.8</v>
      </c>
      <c r="V8" s="16">
        <v>100.8</v>
      </c>
      <c r="W8" s="16">
        <v>100.8</v>
      </c>
      <c r="X8" s="16">
        <v>100.8</v>
      </c>
      <c r="Y8" s="16">
        <v>100.8</v>
      </c>
      <c r="Z8" s="16">
        <v>121.8</v>
      </c>
      <c r="AA8" s="16">
        <v>121.8</v>
      </c>
      <c r="AB8" s="16">
        <v>121.8</v>
      </c>
      <c r="AC8" s="16">
        <v>121.8</v>
      </c>
      <c r="AD8" s="16">
        <v>121.8</v>
      </c>
      <c r="AE8" s="16">
        <v>139.80000000000001</v>
      </c>
      <c r="AF8" s="16">
        <v>139.80000000000001</v>
      </c>
      <c r="AG8" s="16">
        <v>206.5</v>
      </c>
      <c r="AH8" s="16">
        <v>206.5</v>
      </c>
      <c r="AI8" s="16">
        <v>206.5</v>
      </c>
      <c r="AJ8" s="16">
        <v>206.5</v>
      </c>
      <c r="AK8" s="16">
        <v>206.5</v>
      </c>
      <c r="AL8" s="16">
        <v>206.5</v>
      </c>
      <c r="AM8" s="16">
        <v>206.5</v>
      </c>
      <c r="AN8" s="16">
        <v>206.5</v>
      </c>
      <c r="AO8" s="16">
        <v>206.5</v>
      </c>
      <c r="AP8" s="16">
        <v>206.5</v>
      </c>
      <c r="AQ8" s="16">
        <v>206.5</v>
      </c>
      <c r="AR8" s="16">
        <v>206.5</v>
      </c>
      <c r="AS8" s="16">
        <v>206.5</v>
      </c>
      <c r="AT8" s="16">
        <v>206.5</v>
      </c>
      <c r="AU8" s="16">
        <v>206.5</v>
      </c>
      <c r="AV8" s="16">
        <v>206.5</v>
      </c>
      <c r="AW8" s="16">
        <v>206.5</v>
      </c>
      <c r="AX8" s="16">
        <v>206.5</v>
      </c>
      <c r="AY8" s="16">
        <v>206.5</v>
      </c>
      <c r="AZ8" s="16">
        <v>206.5</v>
      </c>
      <c r="BA8" s="16">
        <v>206.5</v>
      </c>
      <c r="BB8" s="16">
        <v>390.5</v>
      </c>
      <c r="BC8" s="16">
        <v>390.5</v>
      </c>
      <c r="BD8" s="16">
        <v>390.5</v>
      </c>
      <c r="BE8" s="16">
        <v>390.5</v>
      </c>
      <c r="BF8" s="16">
        <v>390.5</v>
      </c>
      <c r="BG8" s="16">
        <v>390.5</v>
      </c>
      <c r="BH8" s="16">
        <v>390.5</v>
      </c>
      <c r="BI8" s="16">
        <v>390.5</v>
      </c>
      <c r="BJ8" s="16">
        <v>390.5</v>
      </c>
      <c r="BK8" s="16">
        <v>390.5</v>
      </c>
      <c r="BL8" s="16">
        <v>390.5</v>
      </c>
      <c r="BM8" s="16">
        <v>390.5</v>
      </c>
      <c r="BN8" s="16">
        <v>390.5</v>
      </c>
      <c r="BO8" s="16">
        <v>390.5</v>
      </c>
      <c r="BP8" s="16">
        <v>390.5</v>
      </c>
      <c r="BQ8" s="16">
        <v>404.5</v>
      </c>
      <c r="BR8" s="16">
        <v>404.5</v>
      </c>
      <c r="BS8" s="16">
        <v>404.5</v>
      </c>
      <c r="BT8" s="16">
        <v>404.5</v>
      </c>
      <c r="BU8" s="16">
        <v>404.5</v>
      </c>
      <c r="BV8" s="16">
        <v>404.5</v>
      </c>
      <c r="BW8" s="16">
        <v>404.5</v>
      </c>
      <c r="BX8" s="16">
        <v>404.5</v>
      </c>
      <c r="BY8" s="16">
        <v>404.5</v>
      </c>
      <c r="BZ8" s="16">
        <v>404.5</v>
      </c>
      <c r="CA8" s="16">
        <v>404.5</v>
      </c>
      <c r="CB8" s="16">
        <v>404.5</v>
      </c>
      <c r="CC8" s="16">
        <v>430.5</v>
      </c>
      <c r="CD8" s="16">
        <v>430.5</v>
      </c>
      <c r="CE8" s="16">
        <v>430.5</v>
      </c>
      <c r="CF8" s="16">
        <v>430.5</v>
      </c>
      <c r="CG8" s="16">
        <v>430.5</v>
      </c>
      <c r="CH8" s="16">
        <v>430.5</v>
      </c>
      <c r="CI8" s="16">
        <v>430.5</v>
      </c>
      <c r="CJ8" s="16">
        <v>430.5</v>
      </c>
      <c r="CK8" s="16">
        <v>430.5</v>
      </c>
      <c r="CL8" s="16">
        <v>430.5</v>
      </c>
      <c r="CM8" s="16">
        <v>537</v>
      </c>
      <c r="CN8" s="16">
        <v>537</v>
      </c>
      <c r="CO8" s="16">
        <v>649.20000000000005</v>
      </c>
      <c r="CP8" s="16">
        <v>656.7</v>
      </c>
      <c r="CQ8" s="16">
        <v>695.55000000000007</v>
      </c>
      <c r="CR8" s="16">
        <v>752.12000000000012</v>
      </c>
      <c r="CS8" s="16">
        <v>781.22100000000012</v>
      </c>
      <c r="CT8" s="16">
        <v>805.04100000000017</v>
      </c>
      <c r="CV8" s="6" t="s">
        <v>222</v>
      </c>
    </row>
    <row r="9" spans="1:101" x14ac:dyDescent="0.25">
      <c r="B9" s="6" t="s">
        <v>219</v>
      </c>
      <c r="C9" s="6" t="s">
        <v>221</v>
      </c>
      <c r="D9" s="16">
        <v>0</v>
      </c>
      <c r="E9" s="16">
        <v>2.0099999999999998</v>
      </c>
      <c r="F9" s="16">
        <v>2.0099999999999998</v>
      </c>
      <c r="G9" s="16">
        <v>2.0099999999999998</v>
      </c>
      <c r="H9" s="16">
        <v>2.0099999999999998</v>
      </c>
      <c r="I9" s="16">
        <v>2.0099999999999998</v>
      </c>
      <c r="J9" s="16">
        <v>2.0099999999999998</v>
      </c>
      <c r="K9" s="16">
        <v>2.0099999999999998</v>
      </c>
      <c r="L9" s="16">
        <v>3.3099999999999996</v>
      </c>
      <c r="M9" s="16">
        <v>3.3099999999999996</v>
      </c>
      <c r="N9" s="16">
        <v>3.3099999999999996</v>
      </c>
      <c r="O9" s="16">
        <v>3.3099999999999996</v>
      </c>
      <c r="P9" s="16">
        <v>3.3099999999999996</v>
      </c>
      <c r="Q9" s="16">
        <v>3.3099999999999996</v>
      </c>
      <c r="R9" s="16">
        <v>4.8099999999999996</v>
      </c>
      <c r="S9" s="16">
        <v>9.61</v>
      </c>
      <c r="T9" s="16">
        <v>9.61</v>
      </c>
      <c r="U9" s="16">
        <v>9.61</v>
      </c>
      <c r="V9" s="16">
        <v>9.61</v>
      </c>
      <c r="W9" s="16">
        <v>9.61</v>
      </c>
      <c r="X9" s="16">
        <v>9.61</v>
      </c>
      <c r="Y9" s="16">
        <v>9.61</v>
      </c>
      <c r="Z9" s="16">
        <v>10.41</v>
      </c>
      <c r="AA9" s="16">
        <v>10.71</v>
      </c>
      <c r="AB9" s="16">
        <v>14.290000000000001</v>
      </c>
      <c r="AC9" s="16">
        <v>31.79</v>
      </c>
      <c r="AD9" s="16">
        <v>35.29</v>
      </c>
      <c r="AE9" s="16">
        <v>36.19</v>
      </c>
      <c r="AF9" s="16">
        <v>36.19</v>
      </c>
      <c r="AG9" s="16">
        <v>48.39</v>
      </c>
      <c r="AH9" s="16">
        <v>52.09</v>
      </c>
      <c r="AI9" s="16">
        <v>54.09</v>
      </c>
      <c r="AJ9" s="16">
        <v>54.09</v>
      </c>
      <c r="AK9" s="16">
        <v>54.09</v>
      </c>
      <c r="AL9" s="16">
        <v>54.09</v>
      </c>
      <c r="AM9" s="16">
        <v>54.09</v>
      </c>
      <c r="AN9" s="16">
        <v>54.09</v>
      </c>
      <c r="AO9" s="16">
        <v>66.19</v>
      </c>
      <c r="AP9" s="16">
        <v>66.19</v>
      </c>
      <c r="AQ9" s="16">
        <v>66.19</v>
      </c>
      <c r="AR9" s="16">
        <v>77.89</v>
      </c>
      <c r="AS9" s="16">
        <v>77.89</v>
      </c>
      <c r="AT9" s="16">
        <v>77.89</v>
      </c>
      <c r="AU9" s="16">
        <v>77.89</v>
      </c>
      <c r="AV9" s="16">
        <v>77.89</v>
      </c>
      <c r="AW9" s="16">
        <v>77.89</v>
      </c>
      <c r="AX9" s="16">
        <v>77.89</v>
      </c>
      <c r="AY9" s="16">
        <v>77.89</v>
      </c>
      <c r="AZ9" s="16">
        <v>77.89</v>
      </c>
      <c r="BA9" s="16">
        <v>77.89</v>
      </c>
      <c r="BB9" s="16">
        <v>77.89</v>
      </c>
      <c r="BC9" s="16">
        <v>77.89</v>
      </c>
      <c r="BD9" s="16">
        <v>77.89</v>
      </c>
      <c r="BE9" s="16">
        <v>77.89</v>
      </c>
      <c r="BF9" s="16">
        <v>77.89</v>
      </c>
      <c r="BG9" s="16">
        <v>77.89</v>
      </c>
      <c r="BH9" s="16">
        <v>77.89</v>
      </c>
      <c r="BI9" s="16">
        <v>77.89</v>
      </c>
      <c r="BJ9" s="16">
        <v>77.89</v>
      </c>
      <c r="BK9" s="16">
        <v>77.89</v>
      </c>
      <c r="BL9" s="16">
        <v>77.89</v>
      </c>
      <c r="BM9" s="16">
        <v>77.89</v>
      </c>
      <c r="BN9" s="16">
        <v>77.89</v>
      </c>
      <c r="BO9" s="16">
        <v>77.89</v>
      </c>
      <c r="BP9" s="16">
        <v>77.89</v>
      </c>
      <c r="BQ9" s="16">
        <v>77.89</v>
      </c>
      <c r="BR9" s="16">
        <v>77.89</v>
      </c>
      <c r="BS9" s="16">
        <v>77.89</v>
      </c>
      <c r="BT9" s="16">
        <v>77.89</v>
      </c>
      <c r="BU9" s="16">
        <v>77.89</v>
      </c>
      <c r="BV9" s="16">
        <v>77.89</v>
      </c>
      <c r="BW9" s="16">
        <v>79.69</v>
      </c>
      <c r="BX9" s="16">
        <v>79.69</v>
      </c>
      <c r="BY9" s="16">
        <v>79.69</v>
      </c>
      <c r="BZ9" s="16">
        <v>79.69</v>
      </c>
      <c r="CA9" s="16">
        <v>79.69</v>
      </c>
      <c r="CB9" s="16">
        <v>79.69</v>
      </c>
      <c r="CC9" s="16">
        <v>79.69</v>
      </c>
      <c r="CD9" s="16">
        <v>79.69</v>
      </c>
      <c r="CE9" s="16">
        <v>81.58</v>
      </c>
      <c r="CF9" s="16">
        <v>86.58</v>
      </c>
      <c r="CG9" s="16">
        <v>86.58</v>
      </c>
      <c r="CH9" s="16">
        <v>91.98</v>
      </c>
      <c r="CI9" s="16">
        <v>92.18</v>
      </c>
      <c r="CJ9" s="16">
        <v>92.28</v>
      </c>
      <c r="CK9" s="16">
        <v>98.98</v>
      </c>
      <c r="CL9" s="16">
        <v>131.08000000000001</v>
      </c>
      <c r="CM9" s="16">
        <v>159.08000000000001</v>
      </c>
      <c r="CN9" s="16">
        <v>167.13000000000002</v>
      </c>
      <c r="CO9" s="16">
        <v>167.38000000000002</v>
      </c>
      <c r="CP9" s="16">
        <v>167.82000000000002</v>
      </c>
      <c r="CQ9" s="16">
        <v>167.82000000000002</v>
      </c>
      <c r="CR9" s="16">
        <v>167.82000000000002</v>
      </c>
      <c r="CS9" s="16">
        <v>167.82000000000002</v>
      </c>
      <c r="CT9" s="16">
        <v>167.82000000000002</v>
      </c>
      <c r="CV9" s="6" t="s">
        <v>222</v>
      </c>
    </row>
    <row r="10" spans="1:101" x14ac:dyDescent="0.25">
      <c r="B10" s="6" t="s">
        <v>181</v>
      </c>
      <c r="C10" s="6" t="s">
        <v>221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272</v>
      </c>
      <c r="AO10" s="16">
        <v>272</v>
      </c>
      <c r="AP10" s="16">
        <v>272</v>
      </c>
      <c r="AQ10" s="16">
        <v>272</v>
      </c>
      <c r="AR10" s="16">
        <v>272</v>
      </c>
      <c r="AS10" s="16">
        <v>272</v>
      </c>
      <c r="AT10" s="16">
        <v>272</v>
      </c>
      <c r="AU10" s="16">
        <v>272</v>
      </c>
      <c r="AV10" s="16">
        <v>272</v>
      </c>
      <c r="AW10" s="16">
        <v>272</v>
      </c>
      <c r="AX10" s="16">
        <v>272</v>
      </c>
      <c r="AY10" s="16">
        <v>272</v>
      </c>
      <c r="AZ10" s="16">
        <v>272</v>
      </c>
      <c r="BA10" s="16">
        <v>272</v>
      </c>
      <c r="BB10" s="16">
        <v>272</v>
      </c>
      <c r="BC10" s="16">
        <v>272</v>
      </c>
      <c r="BD10" s="16">
        <v>272</v>
      </c>
      <c r="BE10" s="16">
        <v>272</v>
      </c>
      <c r="BF10" s="16">
        <v>272</v>
      </c>
      <c r="BG10" s="16">
        <v>272</v>
      </c>
      <c r="BH10" s="16">
        <v>272</v>
      </c>
      <c r="BI10" s="16">
        <v>272</v>
      </c>
      <c r="BJ10" s="16">
        <v>272</v>
      </c>
      <c r="BK10" s="16">
        <v>272</v>
      </c>
      <c r="BL10" s="16">
        <v>272</v>
      </c>
      <c r="BM10" s="16">
        <v>272</v>
      </c>
      <c r="BN10" s="16">
        <v>272</v>
      </c>
      <c r="BO10" s="16">
        <v>272</v>
      </c>
      <c r="BP10" s="16">
        <v>572</v>
      </c>
      <c r="BQ10" s="16">
        <v>572</v>
      </c>
      <c r="BR10" s="16">
        <v>572</v>
      </c>
      <c r="BS10" s="16">
        <v>572</v>
      </c>
      <c r="BT10" s="16">
        <v>572</v>
      </c>
      <c r="BU10" s="16">
        <v>572</v>
      </c>
      <c r="BV10" s="16">
        <v>572</v>
      </c>
      <c r="BW10" s="16">
        <v>572</v>
      </c>
      <c r="BX10" s="16">
        <v>572</v>
      </c>
      <c r="BY10" s="16">
        <v>572</v>
      </c>
      <c r="BZ10" s="16">
        <v>572</v>
      </c>
      <c r="CA10" s="16">
        <v>572</v>
      </c>
      <c r="CB10" s="16">
        <v>572</v>
      </c>
      <c r="CC10" s="16">
        <v>572</v>
      </c>
      <c r="CD10" s="16">
        <v>572</v>
      </c>
      <c r="CE10" s="16">
        <v>682</v>
      </c>
      <c r="CF10" s="16">
        <v>682</v>
      </c>
      <c r="CG10" s="16">
        <v>682</v>
      </c>
      <c r="CH10" s="16">
        <v>682</v>
      </c>
      <c r="CI10" s="16">
        <v>682</v>
      </c>
      <c r="CJ10" s="16">
        <v>695</v>
      </c>
      <c r="CK10" s="16">
        <v>695</v>
      </c>
      <c r="CL10" s="16">
        <v>695</v>
      </c>
      <c r="CM10" s="16">
        <v>695</v>
      </c>
      <c r="CN10" s="16">
        <v>925</v>
      </c>
      <c r="CO10" s="16">
        <v>925</v>
      </c>
      <c r="CP10" s="16">
        <v>925</v>
      </c>
      <c r="CQ10" s="16">
        <v>925</v>
      </c>
      <c r="CR10" s="16">
        <v>925</v>
      </c>
      <c r="CS10" s="16">
        <v>1189.0999999999999</v>
      </c>
      <c r="CT10" s="16">
        <v>1189.0999999999999</v>
      </c>
      <c r="CV10" s="6" t="s">
        <v>222</v>
      </c>
    </row>
    <row r="11" spans="1:101" x14ac:dyDescent="0.25">
      <c r="B11" s="6" t="s">
        <v>188</v>
      </c>
      <c r="C11" s="6" t="s">
        <v>221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20.7</v>
      </c>
      <c r="CP11" s="16">
        <v>20.7</v>
      </c>
      <c r="CQ11" s="16">
        <v>20.7</v>
      </c>
      <c r="CR11" s="16">
        <v>20.7</v>
      </c>
      <c r="CS11" s="16">
        <v>20.7</v>
      </c>
      <c r="CT11" s="16">
        <v>20.7</v>
      </c>
      <c r="CV11" s="6" t="s">
        <v>222</v>
      </c>
    </row>
    <row r="13" spans="1:101" s="7" customFormat="1" x14ac:dyDescent="0.25">
      <c r="B13" s="7" t="s">
        <v>218</v>
      </c>
      <c r="C13" s="7" t="s">
        <v>221</v>
      </c>
      <c r="D13" s="18">
        <f t="shared" ref="D13:BO13" si="0">SUM(D6:D11)</f>
        <v>36.799999999999997</v>
      </c>
      <c r="E13" s="18">
        <f t="shared" si="0"/>
        <v>38.809999999999995</v>
      </c>
      <c r="F13" s="18">
        <f t="shared" si="0"/>
        <v>38.809999999999995</v>
      </c>
      <c r="G13" s="18">
        <f t="shared" si="0"/>
        <v>38.809999999999995</v>
      </c>
      <c r="H13" s="18">
        <f t="shared" si="0"/>
        <v>38.809999999999995</v>
      </c>
      <c r="I13" s="18">
        <f t="shared" si="0"/>
        <v>38.809999999999995</v>
      </c>
      <c r="J13" s="18">
        <f t="shared" si="0"/>
        <v>86.81</v>
      </c>
      <c r="K13" s="18">
        <f t="shared" si="0"/>
        <v>86.81</v>
      </c>
      <c r="L13" s="18">
        <f t="shared" si="0"/>
        <v>88.11</v>
      </c>
      <c r="M13" s="18">
        <f t="shared" si="0"/>
        <v>88.11</v>
      </c>
      <c r="N13" s="18">
        <f t="shared" si="0"/>
        <v>104.11</v>
      </c>
      <c r="O13" s="18">
        <f t="shared" si="0"/>
        <v>104.11</v>
      </c>
      <c r="P13" s="18">
        <f t="shared" si="0"/>
        <v>104.11</v>
      </c>
      <c r="Q13" s="18">
        <f t="shared" si="0"/>
        <v>104.11</v>
      </c>
      <c r="R13" s="18">
        <f t="shared" si="0"/>
        <v>105.61</v>
      </c>
      <c r="S13" s="18">
        <f t="shared" si="0"/>
        <v>110.41</v>
      </c>
      <c r="T13" s="18">
        <f t="shared" si="0"/>
        <v>110.41</v>
      </c>
      <c r="U13" s="18">
        <f t="shared" si="0"/>
        <v>110.41</v>
      </c>
      <c r="V13" s="18">
        <f t="shared" si="0"/>
        <v>110.41</v>
      </c>
      <c r="W13" s="18">
        <f t="shared" si="0"/>
        <v>110.41</v>
      </c>
      <c r="X13" s="18">
        <f t="shared" si="0"/>
        <v>223.91000000000003</v>
      </c>
      <c r="Y13" s="18">
        <f t="shared" si="0"/>
        <v>223.91000000000003</v>
      </c>
      <c r="Z13" s="18">
        <f t="shared" si="0"/>
        <v>245.71</v>
      </c>
      <c r="AA13" s="18">
        <f t="shared" si="0"/>
        <v>246.01000000000002</v>
      </c>
      <c r="AB13" s="18">
        <f t="shared" si="0"/>
        <v>249.59</v>
      </c>
      <c r="AC13" s="18">
        <f t="shared" si="0"/>
        <v>267.09000000000003</v>
      </c>
      <c r="AD13" s="18">
        <f t="shared" si="0"/>
        <v>270.59000000000003</v>
      </c>
      <c r="AE13" s="18">
        <f t="shared" si="0"/>
        <v>289.49</v>
      </c>
      <c r="AF13" s="18">
        <f t="shared" si="0"/>
        <v>327.89000000000004</v>
      </c>
      <c r="AG13" s="18">
        <f t="shared" si="0"/>
        <v>486.78999999999996</v>
      </c>
      <c r="AH13" s="18">
        <f t="shared" si="0"/>
        <v>490.49</v>
      </c>
      <c r="AI13" s="18">
        <f t="shared" si="0"/>
        <v>492.49</v>
      </c>
      <c r="AJ13" s="18">
        <f t="shared" si="0"/>
        <v>492.49</v>
      </c>
      <c r="AK13" s="18">
        <f t="shared" si="0"/>
        <v>604.29000000000008</v>
      </c>
      <c r="AL13" s="18">
        <f t="shared" si="0"/>
        <v>604.29000000000008</v>
      </c>
      <c r="AM13" s="18">
        <f t="shared" si="0"/>
        <v>604.29000000000008</v>
      </c>
      <c r="AN13" s="18">
        <f t="shared" si="0"/>
        <v>986.29000000000008</v>
      </c>
      <c r="AO13" s="18">
        <f t="shared" si="0"/>
        <v>998.3900000000001</v>
      </c>
      <c r="AP13" s="18">
        <f t="shared" si="0"/>
        <v>998.3900000000001</v>
      </c>
      <c r="AQ13" s="18">
        <f t="shared" si="0"/>
        <v>998.3900000000001</v>
      </c>
      <c r="AR13" s="18">
        <f t="shared" si="0"/>
        <v>1010.09</v>
      </c>
      <c r="AS13" s="18">
        <f t="shared" si="0"/>
        <v>1010.09</v>
      </c>
      <c r="AT13" s="18">
        <f t="shared" si="0"/>
        <v>1010.09</v>
      </c>
      <c r="AU13" s="18">
        <f t="shared" si="0"/>
        <v>1010.09</v>
      </c>
      <c r="AV13" s="18">
        <f t="shared" si="0"/>
        <v>1230.0899999999999</v>
      </c>
      <c r="AW13" s="18">
        <f t="shared" si="0"/>
        <v>1230.0899999999999</v>
      </c>
      <c r="AX13" s="18">
        <f t="shared" si="0"/>
        <v>1230.0899999999999</v>
      </c>
      <c r="AY13" s="18">
        <f t="shared" si="0"/>
        <v>1230.0899999999999</v>
      </c>
      <c r="AZ13" s="18">
        <f t="shared" si="0"/>
        <v>1230.0899999999999</v>
      </c>
      <c r="BA13" s="18">
        <f t="shared" si="0"/>
        <v>1230.0899999999999</v>
      </c>
      <c r="BB13" s="18">
        <f t="shared" si="0"/>
        <v>1414.09</v>
      </c>
      <c r="BC13" s="18">
        <f t="shared" si="0"/>
        <v>2714.0899999999997</v>
      </c>
      <c r="BD13" s="18">
        <f t="shared" si="0"/>
        <v>2714.0899999999997</v>
      </c>
      <c r="BE13" s="18">
        <f t="shared" si="0"/>
        <v>2714.0899999999997</v>
      </c>
      <c r="BF13" s="18">
        <f t="shared" si="0"/>
        <v>2714.0899999999997</v>
      </c>
      <c r="BG13" s="18">
        <f t="shared" si="0"/>
        <v>2714.0899999999997</v>
      </c>
      <c r="BH13" s="18">
        <f t="shared" si="0"/>
        <v>2714.0899999999997</v>
      </c>
      <c r="BI13" s="18">
        <f t="shared" si="0"/>
        <v>2844.09</v>
      </c>
      <c r="BJ13" s="18">
        <f t="shared" si="0"/>
        <v>2844.09</v>
      </c>
      <c r="BK13" s="18">
        <f t="shared" si="0"/>
        <v>2844.09</v>
      </c>
      <c r="BL13" s="18">
        <f t="shared" si="0"/>
        <v>2844.09</v>
      </c>
      <c r="BM13" s="18">
        <f t="shared" si="0"/>
        <v>2844.09</v>
      </c>
      <c r="BN13" s="18">
        <f t="shared" si="0"/>
        <v>2844.09</v>
      </c>
      <c r="BO13" s="18">
        <f t="shared" si="0"/>
        <v>2844.09</v>
      </c>
      <c r="BP13" s="18">
        <f t="shared" ref="BP13:CS13" si="1">SUM(BP6:BP11)</f>
        <v>3144.09</v>
      </c>
      <c r="BQ13" s="18">
        <f t="shared" si="1"/>
        <v>3158.09</v>
      </c>
      <c r="BR13" s="18">
        <f t="shared" si="1"/>
        <v>3158.09</v>
      </c>
      <c r="BS13" s="18">
        <f t="shared" si="1"/>
        <v>3158.09</v>
      </c>
      <c r="BT13" s="18">
        <f t="shared" si="1"/>
        <v>3158.09</v>
      </c>
      <c r="BU13" s="18">
        <f t="shared" si="1"/>
        <v>3158.09</v>
      </c>
      <c r="BV13" s="18">
        <f t="shared" si="1"/>
        <v>3158.09</v>
      </c>
      <c r="BW13" s="18">
        <f t="shared" si="1"/>
        <v>3159.8900000000003</v>
      </c>
      <c r="BX13" s="18">
        <f t="shared" si="1"/>
        <v>3159.8900000000003</v>
      </c>
      <c r="BY13" s="18">
        <f t="shared" si="1"/>
        <v>3159.8900000000003</v>
      </c>
      <c r="BZ13" s="18">
        <f t="shared" si="1"/>
        <v>3159.8900000000003</v>
      </c>
      <c r="CA13" s="18">
        <f t="shared" si="1"/>
        <v>3159.8900000000003</v>
      </c>
      <c r="CB13" s="18">
        <f t="shared" si="1"/>
        <v>3159.8900000000003</v>
      </c>
      <c r="CC13" s="18">
        <f t="shared" si="1"/>
        <v>3185.8900000000003</v>
      </c>
      <c r="CD13" s="18">
        <f t="shared" si="1"/>
        <v>3185.8900000000003</v>
      </c>
      <c r="CE13" s="18">
        <f t="shared" si="1"/>
        <v>3297.78</v>
      </c>
      <c r="CF13" s="18">
        <f t="shared" si="1"/>
        <v>3302.78</v>
      </c>
      <c r="CG13" s="18">
        <f t="shared" si="1"/>
        <v>3302.78</v>
      </c>
      <c r="CH13" s="18">
        <f t="shared" si="1"/>
        <v>3308.1800000000003</v>
      </c>
      <c r="CI13" s="18">
        <f t="shared" si="1"/>
        <v>3308.38</v>
      </c>
      <c r="CJ13" s="18">
        <f t="shared" si="1"/>
        <v>3321.4800000000005</v>
      </c>
      <c r="CK13" s="18">
        <f t="shared" si="1"/>
        <v>3328.1800000000003</v>
      </c>
      <c r="CL13" s="18">
        <f t="shared" si="1"/>
        <v>3360.28</v>
      </c>
      <c r="CM13" s="18">
        <f t="shared" si="1"/>
        <v>3494.78</v>
      </c>
      <c r="CN13" s="18">
        <f t="shared" si="1"/>
        <v>3732.8300000000004</v>
      </c>
      <c r="CO13" s="18">
        <f t="shared" si="1"/>
        <v>3913.46</v>
      </c>
      <c r="CP13" s="18">
        <f t="shared" si="1"/>
        <v>4100.1200000000008</v>
      </c>
      <c r="CQ13" s="18">
        <f t="shared" si="1"/>
        <v>4190.1899999999996</v>
      </c>
      <c r="CR13" s="18">
        <f t="shared" si="1"/>
        <v>4246.7599999999993</v>
      </c>
      <c r="CS13" s="18">
        <f t="shared" si="1"/>
        <v>4539.9610000000002</v>
      </c>
      <c r="CT13" s="18">
        <f>SUM(CT6:CT11)</f>
        <v>4563.7809999999999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F954-5071-4DDD-864A-CEC60382B16C}">
  <dimension ref="A3:B17"/>
  <sheetViews>
    <sheetView tabSelected="1" workbookViewId="0">
      <selection activeCell="G32" sqref="G32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19" t="s">
        <v>227</v>
      </c>
      <c r="B3" t="s">
        <v>226</v>
      </c>
    </row>
    <row r="4" spans="1:2" x14ac:dyDescent="0.25">
      <c r="A4" s="20" t="s">
        <v>185</v>
      </c>
      <c r="B4" s="22">
        <v>0.23160620546866731</v>
      </c>
    </row>
    <row r="5" spans="1:2" x14ac:dyDescent="0.25">
      <c r="A5" s="21" t="s">
        <v>224</v>
      </c>
      <c r="B5" s="22">
        <v>1</v>
      </c>
    </row>
    <row r="6" spans="1:2" x14ac:dyDescent="0.25">
      <c r="A6" s="20" t="s">
        <v>183</v>
      </c>
      <c r="B6" s="22">
        <v>2.8485152990469962E-3</v>
      </c>
    </row>
    <row r="7" spans="1:2" x14ac:dyDescent="0.25">
      <c r="A7" s="21" t="s">
        <v>225</v>
      </c>
      <c r="B7" s="22">
        <v>1</v>
      </c>
    </row>
    <row r="8" spans="1:2" x14ac:dyDescent="0.25">
      <c r="A8" s="20" t="s">
        <v>213</v>
      </c>
      <c r="B8" s="22">
        <v>2.4102821761166893E-2</v>
      </c>
    </row>
    <row r="9" spans="1:2" x14ac:dyDescent="0.25">
      <c r="A9" s="21" t="s">
        <v>225</v>
      </c>
      <c r="B9" s="22">
        <v>1</v>
      </c>
    </row>
    <row r="10" spans="1:2" x14ac:dyDescent="0.25">
      <c r="A10" s="20" t="s">
        <v>3</v>
      </c>
      <c r="B10" s="22">
        <v>0.73491278393945714</v>
      </c>
    </row>
    <row r="11" spans="1:2" x14ac:dyDescent="0.25">
      <c r="A11" s="21" t="s">
        <v>225</v>
      </c>
      <c r="B11" s="22">
        <v>0.54680721208617455</v>
      </c>
    </row>
    <row r="12" spans="1:2" x14ac:dyDescent="0.25">
      <c r="A12" s="21" t="s">
        <v>224</v>
      </c>
      <c r="B12" s="22">
        <v>0.45319278791382545</v>
      </c>
    </row>
    <row r="13" spans="1:2" x14ac:dyDescent="0.25">
      <c r="A13" s="20" t="s">
        <v>181</v>
      </c>
      <c r="B13" s="22">
        <v>1.9939607093328975E-3</v>
      </c>
    </row>
    <row r="14" spans="1:2" x14ac:dyDescent="0.25">
      <c r="A14" s="21" t="s">
        <v>224</v>
      </c>
      <c r="B14" s="22">
        <v>1</v>
      </c>
    </row>
    <row r="15" spans="1:2" x14ac:dyDescent="0.25">
      <c r="A15" s="20" t="s">
        <v>188</v>
      </c>
      <c r="B15" s="22">
        <v>4.535712822328679E-3</v>
      </c>
    </row>
    <row r="16" spans="1:2" x14ac:dyDescent="0.25">
      <c r="A16" s="21" t="s">
        <v>225</v>
      </c>
      <c r="B16" s="22">
        <v>1</v>
      </c>
    </row>
    <row r="17" spans="1:2" x14ac:dyDescent="0.25">
      <c r="A17" s="20" t="s">
        <v>228</v>
      </c>
      <c r="B17" s="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724D-201D-41C8-A401-C98C65278C57}">
  <dimension ref="A1:I113"/>
  <sheetViews>
    <sheetView zoomScale="90" zoomScaleNormal="90" workbookViewId="0">
      <selection activeCell="H86" sqref="A1:I113"/>
    </sheetView>
  </sheetViews>
  <sheetFormatPr defaultRowHeight="15" x14ac:dyDescent="0.25"/>
  <cols>
    <col min="2" max="2" width="26.5703125" customWidth="1"/>
    <col min="5" max="5" width="17.28515625" bestFit="1" customWidth="1"/>
  </cols>
  <sheetData>
    <row r="1" spans="1:9" x14ac:dyDescent="0.25">
      <c r="A1" t="s">
        <v>0</v>
      </c>
      <c r="B1" t="s">
        <v>126</v>
      </c>
      <c r="C1" t="s">
        <v>127</v>
      </c>
      <c r="D1" t="s">
        <v>125</v>
      </c>
      <c r="E1" t="s">
        <v>123</v>
      </c>
      <c r="F1" t="s">
        <v>1</v>
      </c>
      <c r="G1" t="s">
        <v>124</v>
      </c>
      <c r="H1" t="s">
        <v>54</v>
      </c>
      <c r="I1" t="s">
        <v>223</v>
      </c>
    </row>
    <row r="2" spans="1:9" x14ac:dyDescent="0.25">
      <c r="A2">
        <v>1</v>
      </c>
      <c r="B2" t="s">
        <v>2</v>
      </c>
      <c r="C2" t="s">
        <v>3</v>
      </c>
      <c r="D2">
        <v>1300</v>
      </c>
      <c r="E2" t="s">
        <v>4</v>
      </c>
      <c r="F2" t="s">
        <v>215</v>
      </c>
      <c r="G2">
        <v>1978</v>
      </c>
      <c r="H2">
        <v>1978</v>
      </c>
      <c r="I2" t="s">
        <v>224</v>
      </c>
    </row>
    <row r="3" spans="1:9" x14ac:dyDescent="0.25">
      <c r="A3">
        <v>2</v>
      </c>
      <c r="B3" t="s">
        <v>49</v>
      </c>
      <c r="C3" t="s">
        <v>3</v>
      </c>
      <c r="D3">
        <v>220</v>
      </c>
      <c r="E3" t="s">
        <v>5</v>
      </c>
      <c r="F3" t="s">
        <v>215</v>
      </c>
      <c r="G3">
        <v>1971</v>
      </c>
      <c r="H3">
        <v>1971</v>
      </c>
      <c r="I3" t="s">
        <v>224</v>
      </c>
    </row>
    <row r="4" spans="1:9" x14ac:dyDescent="0.25">
      <c r="A4">
        <v>3</v>
      </c>
      <c r="B4" t="s">
        <v>50</v>
      </c>
      <c r="C4" t="s">
        <v>3</v>
      </c>
      <c r="D4">
        <v>113.5</v>
      </c>
      <c r="E4" t="s">
        <v>53</v>
      </c>
      <c r="F4" t="s">
        <v>215</v>
      </c>
      <c r="G4">
        <v>1947</v>
      </c>
      <c r="H4">
        <v>1947</v>
      </c>
      <c r="I4" t="s">
        <v>225</v>
      </c>
    </row>
    <row r="5" spans="1:9" x14ac:dyDescent="0.25">
      <c r="A5">
        <v>4</v>
      </c>
      <c r="B5" t="s">
        <v>51</v>
      </c>
      <c r="C5" t="s">
        <v>3</v>
      </c>
      <c r="D5">
        <v>110</v>
      </c>
      <c r="E5" t="s">
        <v>7</v>
      </c>
      <c r="F5" t="s">
        <v>215</v>
      </c>
      <c r="G5">
        <v>1963</v>
      </c>
      <c r="H5">
        <v>1963</v>
      </c>
      <c r="I5" t="s">
        <v>225</v>
      </c>
    </row>
    <row r="6" spans="1:9" x14ac:dyDescent="0.25">
      <c r="A6">
        <v>5</v>
      </c>
      <c r="B6" t="s">
        <v>8</v>
      </c>
      <c r="C6" t="s">
        <v>3</v>
      </c>
      <c r="D6">
        <v>38.4</v>
      </c>
      <c r="E6" t="s">
        <v>9</v>
      </c>
      <c r="F6" t="s">
        <v>215</v>
      </c>
      <c r="G6">
        <v>1955</v>
      </c>
      <c r="H6">
        <v>1955</v>
      </c>
      <c r="I6" t="s">
        <v>225</v>
      </c>
    </row>
    <row r="7" spans="1:9" x14ac:dyDescent="0.25">
      <c r="A7">
        <v>6</v>
      </c>
      <c r="B7" t="s">
        <v>10</v>
      </c>
      <c r="C7" t="s">
        <v>3</v>
      </c>
      <c r="D7">
        <v>80</v>
      </c>
      <c r="E7" t="s">
        <v>11</v>
      </c>
      <c r="F7" t="s">
        <v>215</v>
      </c>
      <c r="G7">
        <v>1956</v>
      </c>
      <c r="H7">
        <v>1956</v>
      </c>
      <c r="I7" t="s">
        <v>225</v>
      </c>
    </row>
    <row r="8" spans="1:9" x14ac:dyDescent="0.25">
      <c r="A8">
        <v>7</v>
      </c>
      <c r="B8" t="s">
        <v>12</v>
      </c>
      <c r="C8" t="s">
        <v>3</v>
      </c>
      <c r="D8">
        <v>130</v>
      </c>
      <c r="E8" t="s">
        <v>13</v>
      </c>
      <c r="F8" t="s">
        <v>215</v>
      </c>
      <c r="G8">
        <v>1984</v>
      </c>
      <c r="H8">
        <v>1984</v>
      </c>
      <c r="I8" t="s">
        <v>225</v>
      </c>
    </row>
    <row r="9" spans="1:9" x14ac:dyDescent="0.25">
      <c r="A9">
        <v>8</v>
      </c>
      <c r="B9" t="s">
        <v>14</v>
      </c>
      <c r="C9" t="s">
        <v>3</v>
      </c>
      <c r="D9">
        <v>48</v>
      </c>
      <c r="E9" t="s">
        <v>15</v>
      </c>
      <c r="F9" t="s">
        <v>16</v>
      </c>
      <c r="G9">
        <v>1933</v>
      </c>
      <c r="H9">
        <v>1933</v>
      </c>
      <c r="I9" t="s">
        <v>225</v>
      </c>
    </row>
    <row r="10" spans="1:9" x14ac:dyDescent="0.25">
      <c r="A10">
        <v>9</v>
      </c>
      <c r="B10" t="s">
        <v>17</v>
      </c>
      <c r="C10" t="s">
        <v>3</v>
      </c>
      <c r="D10">
        <v>66.7</v>
      </c>
      <c r="E10" t="s">
        <v>52</v>
      </c>
      <c r="F10" t="s">
        <v>16</v>
      </c>
      <c r="G10" t="s">
        <v>18</v>
      </c>
      <c r="H10">
        <v>1956</v>
      </c>
      <c r="I10" t="s">
        <v>225</v>
      </c>
    </row>
    <row r="11" spans="1:9" x14ac:dyDescent="0.25">
      <c r="A11">
        <v>10</v>
      </c>
      <c r="B11" t="s">
        <v>48</v>
      </c>
      <c r="C11" t="s">
        <v>3</v>
      </c>
      <c r="D11">
        <v>184</v>
      </c>
      <c r="E11" t="s">
        <v>19</v>
      </c>
      <c r="F11" t="s">
        <v>16</v>
      </c>
      <c r="G11" t="s">
        <v>20</v>
      </c>
      <c r="H11">
        <v>1977</v>
      </c>
      <c r="I11" t="s">
        <v>225</v>
      </c>
    </row>
    <row r="12" spans="1:9" x14ac:dyDescent="0.25">
      <c r="A12">
        <v>11</v>
      </c>
      <c r="B12" t="s">
        <v>21</v>
      </c>
      <c r="C12" t="s">
        <v>3</v>
      </c>
      <c r="D12">
        <v>111.8</v>
      </c>
      <c r="E12" t="s">
        <v>22</v>
      </c>
      <c r="F12" t="s">
        <v>216</v>
      </c>
      <c r="G12">
        <v>1960</v>
      </c>
      <c r="H12">
        <v>1960</v>
      </c>
      <c r="I12" t="s">
        <v>225</v>
      </c>
    </row>
    <row r="13" spans="1:9" x14ac:dyDescent="0.25">
      <c r="A13">
        <v>12</v>
      </c>
      <c r="B13" t="s">
        <v>23</v>
      </c>
      <c r="C13" t="s">
        <v>3</v>
      </c>
      <c r="D13">
        <v>36.799999999999997</v>
      </c>
      <c r="E13" t="s">
        <v>122</v>
      </c>
      <c r="F13" t="s">
        <v>16</v>
      </c>
      <c r="G13">
        <v>1927</v>
      </c>
      <c r="H13">
        <v>1927</v>
      </c>
      <c r="I13" t="s">
        <v>225</v>
      </c>
    </row>
    <row r="14" spans="1:9" x14ac:dyDescent="0.25">
      <c r="A14">
        <v>13</v>
      </c>
      <c r="B14" t="s">
        <v>24</v>
      </c>
      <c r="C14" t="s">
        <v>3</v>
      </c>
      <c r="D14">
        <v>18</v>
      </c>
      <c r="E14" t="s">
        <v>25</v>
      </c>
      <c r="F14" t="s">
        <v>16</v>
      </c>
      <c r="G14">
        <v>1954</v>
      </c>
      <c r="H14">
        <v>1954</v>
      </c>
      <c r="I14" t="s">
        <v>225</v>
      </c>
    </row>
    <row r="15" spans="1:9" x14ac:dyDescent="0.25">
      <c r="A15">
        <v>14</v>
      </c>
      <c r="B15" t="s">
        <v>26</v>
      </c>
      <c r="C15" t="s">
        <v>3</v>
      </c>
      <c r="D15">
        <v>21</v>
      </c>
      <c r="E15" t="s">
        <v>27</v>
      </c>
      <c r="F15" t="s">
        <v>16</v>
      </c>
      <c r="G15">
        <v>1949</v>
      </c>
      <c r="H15">
        <v>1949</v>
      </c>
      <c r="I15" t="s">
        <v>225</v>
      </c>
    </row>
    <row r="16" spans="1:9" x14ac:dyDescent="0.25">
      <c r="A16">
        <v>15</v>
      </c>
      <c r="B16" t="s">
        <v>28</v>
      </c>
      <c r="C16" t="s">
        <v>3</v>
      </c>
      <c r="D16">
        <v>16</v>
      </c>
      <c r="E16" t="s">
        <v>29</v>
      </c>
      <c r="F16" t="s">
        <v>16</v>
      </c>
      <c r="G16">
        <v>1937</v>
      </c>
      <c r="H16">
        <v>1937</v>
      </c>
      <c r="I16" t="s">
        <v>225</v>
      </c>
    </row>
    <row r="17" spans="1:9" x14ac:dyDescent="0.25">
      <c r="A17">
        <v>16</v>
      </c>
      <c r="B17" t="s">
        <v>30</v>
      </c>
      <c r="C17" t="s">
        <v>3</v>
      </c>
      <c r="D17">
        <v>14</v>
      </c>
      <c r="E17" t="s">
        <v>31</v>
      </c>
      <c r="F17" t="s">
        <v>16</v>
      </c>
      <c r="G17">
        <v>1992</v>
      </c>
      <c r="H17">
        <v>1992</v>
      </c>
      <c r="I17" t="s">
        <v>225</v>
      </c>
    </row>
    <row r="18" spans="1:9" x14ac:dyDescent="0.25">
      <c r="A18">
        <v>17</v>
      </c>
      <c r="B18" t="s">
        <v>32</v>
      </c>
      <c r="C18" t="s">
        <v>3</v>
      </c>
      <c r="D18">
        <v>26</v>
      </c>
      <c r="E18" t="s">
        <v>33</v>
      </c>
      <c r="F18" t="s">
        <v>16</v>
      </c>
      <c r="G18">
        <v>2004</v>
      </c>
      <c r="H18">
        <v>2004</v>
      </c>
      <c r="I18" t="s">
        <v>225</v>
      </c>
    </row>
    <row r="19" spans="1:9" x14ac:dyDescent="0.25">
      <c r="A19">
        <v>18</v>
      </c>
      <c r="B19" t="s">
        <v>34</v>
      </c>
      <c r="C19" t="s">
        <v>3</v>
      </c>
      <c r="D19">
        <v>19.5</v>
      </c>
      <c r="E19" t="s">
        <v>35</v>
      </c>
      <c r="F19" t="s">
        <v>16</v>
      </c>
      <c r="G19">
        <v>2014</v>
      </c>
      <c r="H19">
        <v>2014</v>
      </c>
      <c r="I19" t="s">
        <v>225</v>
      </c>
    </row>
    <row r="20" spans="1:9" x14ac:dyDescent="0.25">
      <c r="A20">
        <v>19</v>
      </c>
      <c r="B20" t="s">
        <v>36</v>
      </c>
      <c r="C20" t="s">
        <v>3</v>
      </c>
      <c r="D20">
        <v>87</v>
      </c>
      <c r="E20" t="s">
        <v>37</v>
      </c>
      <c r="F20" t="s">
        <v>16</v>
      </c>
      <c r="G20">
        <v>2014</v>
      </c>
      <c r="H20">
        <v>2014</v>
      </c>
      <c r="I20" t="s">
        <v>225</v>
      </c>
    </row>
    <row r="21" spans="1:9" x14ac:dyDescent="0.25">
      <c r="A21">
        <v>20</v>
      </c>
      <c r="B21" t="s">
        <v>38</v>
      </c>
      <c r="C21" t="s">
        <v>3</v>
      </c>
      <c r="D21">
        <v>12.2</v>
      </c>
      <c r="E21" t="s">
        <v>39</v>
      </c>
      <c r="F21" t="s">
        <v>120</v>
      </c>
      <c r="G21">
        <v>1956</v>
      </c>
      <c r="H21">
        <v>1956</v>
      </c>
      <c r="I21" t="s">
        <v>225</v>
      </c>
    </row>
    <row r="22" spans="1:9" x14ac:dyDescent="0.25">
      <c r="A22">
        <v>21</v>
      </c>
      <c r="B22" t="s">
        <v>40</v>
      </c>
      <c r="C22" t="s">
        <v>3</v>
      </c>
      <c r="D22">
        <v>13.6</v>
      </c>
      <c r="E22" t="s">
        <v>41</v>
      </c>
      <c r="F22" t="s">
        <v>120</v>
      </c>
      <c r="G22">
        <v>1952</v>
      </c>
      <c r="H22">
        <v>1952</v>
      </c>
      <c r="I22" t="s">
        <v>225</v>
      </c>
    </row>
    <row r="23" spans="1:9" x14ac:dyDescent="0.25">
      <c r="A23">
        <v>22</v>
      </c>
      <c r="B23" t="s">
        <v>42</v>
      </c>
      <c r="C23" t="s">
        <v>3</v>
      </c>
      <c r="D23">
        <v>4.8</v>
      </c>
      <c r="E23" t="s">
        <v>43</v>
      </c>
      <c r="F23" t="s">
        <v>120</v>
      </c>
      <c r="G23">
        <v>1942</v>
      </c>
      <c r="H23">
        <v>1942</v>
      </c>
      <c r="I23" t="s">
        <v>225</v>
      </c>
    </row>
    <row r="24" spans="1:9" x14ac:dyDescent="0.25">
      <c r="A24">
        <v>23</v>
      </c>
      <c r="B24" t="s">
        <v>44</v>
      </c>
      <c r="C24" t="s">
        <v>3</v>
      </c>
      <c r="D24">
        <v>2.0099999999999998</v>
      </c>
      <c r="E24" t="s">
        <v>45</v>
      </c>
      <c r="F24" t="s">
        <v>120</v>
      </c>
      <c r="G24">
        <v>1928</v>
      </c>
      <c r="H24">
        <v>1928</v>
      </c>
      <c r="I24" t="s">
        <v>225</v>
      </c>
    </row>
    <row r="25" spans="1:9" x14ac:dyDescent="0.25">
      <c r="A25">
        <v>24</v>
      </c>
      <c r="B25" t="s">
        <v>46</v>
      </c>
      <c r="C25" t="s">
        <v>3</v>
      </c>
      <c r="D25">
        <v>9.1</v>
      </c>
      <c r="E25" t="s">
        <v>47</v>
      </c>
      <c r="F25" t="s">
        <v>120</v>
      </c>
      <c r="G25">
        <v>1964</v>
      </c>
      <c r="H25">
        <v>1964</v>
      </c>
      <c r="I25" t="s">
        <v>225</v>
      </c>
    </row>
    <row r="26" spans="1:9" x14ac:dyDescent="0.25">
      <c r="A26">
        <v>25</v>
      </c>
      <c r="B26" t="s">
        <v>55</v>
      </c>
      <c r="C26" t="s">
        <v>3</v>
      </c>
      <c r="D26">
        <v>6.3</v>
      </c>
      <c r="E26" t="s">
        <v>119</v>
      </c>
      <c r="F26" t="s">
        <v>120</v>
      </c>
      <c r="G26">
        <v>1967</v>
      </c>
      <c r="H26">
        <v>1967</v>
      </c>
      <c r="I26" t="s">
        <v>225</v>
      </c>
    </row>
    <row r="27" spans="1:9" x14ac:dyDescent="0.25">
      <c r="A27">
        <v>26</v>
      </c>
      <c r="B27" t="s">
        <v>56</v>
      </c>
      <c r="C27" t="s">
        <v>3</v>
      </c>
      <c r="D27">
        <v>1.5</v>
      </c>
      <c r="E27" t="s">
        <v>57</v>
      </c>
      <c r="F27" t="s">
        <v>120</v>
      </c>
      <c r="G27">
        <v>1941</v>
      </c>
      <c r="H27">
        <v>1941</v>
      </c>
      <c r="I27" t="s">
        <v>225</v>
      </c>
    </row>
    <row r="28" spans="1:9" x14ac:dyDescent="0.25">
      <c r="A28">
        <v>27</v>
      </c>
      <c r="B28" t="s">
        <v>58</v>
      </c>
      <c r="C28" t="s">
        <v>3</v>
      </c>
      <c r="D28">
        <v>5.4</v>
      </c>
      <c r="E28" t="s">
        <v>59</v>
      </c>
      <c r="F28" t="s">
        <v>120</v>
      </c>
      <c r="G28">
        <v>1967</v>
      </c>
      <c r="H28">
        <v>1967</v>
      </c>
      <c r="I28" t="s">
        <v>225</v>
      </c>
    </row>
    <row r="29" spans="1:9" x14ac:dyDescent="0.25">
      <c r="A29">
        <v>28</v>
      </c>
      <c r="B29" t="s">
        <v>60</v>
      </c>
      <c r="C29" t="s">
        <v>3</v>
      </c>
      <c r="D29">
        <v>1.3</v>
      </c>
      <c r="E29" t="s">
        <v>61</v>
      </c>
      <c r="F29" t="s">
        <v>120</v>
      </c>
      <c r="G29">
        <v>1935</v>
      </c>
      <c r="H29">
        <v>1935</v>
      </c>
      <c r="I29" t="s">
        <v>225</v>
      </c>
    </row>
    <row r="30" spans="1:9" x14ac:dyDescent="0.25">
      <c r="A30">
        <v>29</v>
      </c>
      <c r="B30" t="s">
        <v>62</v>
      </c>
      <c r="C30" t="s">
        <v>3</v>
      </c>
      <c r="D30">
        <v>0.8</v>
      </c>
      <c r="E30" t="s">
        <v>63</v>
      </c>
      <c r="F30" t="s">
        <v>120</v>
      </c>
      <c r="G30">
        <v>1949</v>
      </c>
      <c r="H30">
        <v>1949</v>
      </c>
      <c r="I30" t="s">
        <v>225</v>
      </c>
    </row>
    <row r="31" spans="1:9" x14ac:dyDescent="0.25">
      <c r="A31">
        <v>30</v>
      </c>
      <c r="B31" t="s">
        <v>64</v>
      </c>
      <c r="C31" t="s">
        <v>3</v>
      </c>
      <c r="D31">
        <v>1.5</v>
      </c>
      <c r="E31" t="s">
        <v>65</v>
      </c>
      <c r="F31" t="s">
        <v>120</v>
      </c>
      <c r="G31">
        <v>1953</v>
      </c>
      <c r="H31">
        <v>1953</v>
      </c>
      <c r="I31" t="s">
        <v>225</v>
      </c>
    </row>
    <row r="32" spans="1:9" x14ac:dyDescent="0.25">
      <c r="A32">
        <v>31</v>
      </c>
      <c r="B32" t="s">
        <v>66</v>
      </c>
      <c r="C32" t="s">
        <v>3</v>
      </c>
      <c r="D32">
        <v>2.1</v>
      </c>
      <c r="E32" t="s">
        <v>67</v>
      </c>
      <c r="F32" t="s">
        <v>120</v>
      </c>
      <c r="G32">
        <v>1957</v>
      </c>
      <c r="H32">
        <v>1957</v>
      </c>
      <c r="I32" t="s">
        <v>225</v>
      </c>
    </row>
    <row r="33" spans="1:9" x14ac:dyDescent="0.25">
      <c r="A33">
        <v>32</v>
      </c>
      <c r="B33" t="s">
        <v>68</v>
      </c>
      <c r="C33" t="s">
        <v>3</v>
      </c>
      <c r="D33">
        <v>3.9</v>
      </c>
      <c r="E33" t="s">
        <v>69</v>
      </c>
      <c r="F33" t="s">
        <v>120</v>
      </c>
      <c r="G33">
        <v>1952</v>
      </c>
      <c r="H33">
        <v>1952</v>
      </c>
      <c r="I33" t="s">
        <v>225</v>
      </c>
    </row>
    <row r="34" spans="1:9" x14ac:dyDescent="0.25">
      <c r="A34">
        <v>33</v>
      </c>
      <c r="B34" t="s">
        <v>70</v>
      </c>
      <c r="C34" t="s">
        <v>3</v>
      </c>
      <c r="D34">
        <v>1.8</v>
      </c>
      <c r="E34" t="s">
        <v>71</v>
      </c>
      <c r="F34" t="s">
        <v>120</v>
      </c>
      <c r="G34">
        <v>1998</v>
      </c>
      <c r="H34">
        <v>1998</v>
      </c>
      <c r="I34" t="s">
        <v>225</v>
      </c>
    </row>
    <row r="35" spans="1:9" x14ac:dyDescent="0.25">
      <c r="A35">
        <v>34</v>
      </c>
      <c r="B35" t="s">
        <v>121</v>
      </c>
      <c r="C35" t="s">
        <v>3</v>
      </c>
      <c r="D35">
        <v>0.38</v>
      </c>
      <c r="E35" t="s">
        <v>73</v>
      </c>
      <c r="F35" t="s">
        <v>120</v>
      </c>
      <c r="G35">
        <v>1951</v>
      </c>
      <c r="H35">
        <v>1951</v>
      </c>
      <c r="I35" t="s">
        <v>225</v>
      </c>
    </row>
    <row r="36" spans="1:9" x14ac:dyDescent="0.25">
      <c r="A36">
        <v>35</v>
      </c>
      <c r="B36" t="s">
        <v>74</v>
      </c>
      <c r="C36" t="s">
        <v>3</v>
      </c>
      <c r="D36">
        <v>0.59</v>
      </c>
      <c r="E36" t="s">
        <v>75</v>
      </c>
      <c r="F36" t="s">
        <v>120</v>
      </c>
      <c r="G36">
        <v>2006</v>
      </c>
      <c r="H36">
        <v>2006</v>
      </c>
      <c r="I36" t="s">
        <v>225</v>
      </c>
    </row>
    <row r="37" spans="1:9" x14ac:dyDescent="0.25">
      <c r="A37">
        <v>36</v>
      </c>
      <c r="B37" t="s">
        <v>76</v>
      </c>
      <c r="C37" t="s">
        <v>3</v>
      </c>
      <c r="D37">
        <v>1.3</v>
      </c>
      <c r="E37" t="s">
        <v>77</v>
      </c>
      <c r="F37" t="s">
        <v>120</v>
      </c>
      <c r="G37">
        <v>2006</v>
      </c>
      <c r="H37">
        <v>2006</v>
      </c>
      <c r="I37" t="s">
        <v>225</v>
      </c>
    </row>
    <row r="38" spans="1:9" x14ac:dyDescent="0.25">
      <c r="A38">
        <v>37</v>
      </c>
      <c r="B38" t="s">
        <v>78</v>
      </c>
      <c r="C38" t="s">
        <v>3</v>
      </c>
      <c r="D38">
        <v>1.6</v>
      </c>
      <c r="E38" t="s">
        <v>79</v>
      </c>
      <c r="F38" t="s">
        <v>120</v>
      </c>
      <c r="G38">
        <v>1957</v>
      </c>
      <c r="H38">
        <v>1957</v>
      </c>
      <c r="I38" t="s">
        <v>225</v>
      </c>
    </row>
    <row r="39" spans="1:9" x14ac:dyDescent="0.25">
      <c r="A39">
        <v>38</v>
      </c>
      <c r="B39" t="s">
        <v>80</v>
      </c>
      <c r="C39" t="s">
        <v>3</v>
      </c>
      <c r="D39">
        <v>3</v>
      </c>
      <c r="E39" t="s">
        <v>81</v>
      </c>
      <c r="F39" t="s">
        <v>120</v>
      </c>
      <c r="G39">
        <v>1964</v>
      </c>
      <c r="H39">
        <v>1964</v>
      </c>
      <c r="I39" t="s">
        <v>225</v>
      </c>
    </row>
    <row r="40" spans="1:9" x14ac:dyDescent="0.25">
      <c r="A40">
        <v>39</v>
      </c>
      <c r="B40" t="s">
        <v>82</v>
      </c>
      <c r="C40" t="s">
        <v>3</v>
      </c>
      <c r="D40">
        <v>1</v>
      </c>
      <c r="F40" t="s">
        <v>120</v>
      </c>
      <c r="G40">
        <v>1958</v>
      </c>
      <c r="H40">
        <v>1958</v>
      </c>
      <c r="I40" t="s">
        <v>225</v>
      </c>
    </row>
    <row r="41" spans="1:9" x14ac:dyDescent="0.25">
      <c r="A41">
        <v>40</v>
      </c>
      <c r="B41" t="s">
        <v>83</v>
      </c>
      <c r="C41" t="s">
        <v>3</v>
      </c>
      <c r="D41">
        <v>3.2</v>
      </c>
      <c r="E41" t="s">
        <v>84</v>
      </c>
      <c r="F41" t="s">
        <v>120</v>
      </c>
      <c r="G41">
        <v>1951</v>
      </c>
      <c r="H41">
        <v>1951</v>
      </c>
      <c r="I41" t="s">
        <v>225</v>
      </c>
    </row>
    <row r="42" spans="1:9" x14ac:dyDescent="0.25">
      <c r="A42">
        <v>41</v>
      </c>
      <c r="B42" t="s">
        <v>85</v>
      </c>
      <c r="C42" t="s">
        <v>3</v>
      </c>
      <c r="D42">
        <v>0.3</v>
      </c>
      <c r="E42" t="s">
        <v>86</v>
      </c>
      <c r="F42" t="s">
        <v>120</v>
      </c>
      <c r="G42">
        <v>1950</v>
      </c>
      <c r="H42">
        <v>1950</v>
      </c>
      <c r="I42" t="s">
        <v>225</v>
      </c>
    </row>
    <row r="43" spans="1:9" x14ac:dyDescent="0.25">
      <c r="A43">
        <v>42</v>
      </c>
      <c r="B43" t="s">
        <v>87</v>
      </c>
      <c r="C43" t="s">
        <v>3</v>
      </c>
      <c r="D43">
        <v>0.9</v>
      </c>
      <c r="E43" t="s">
        <v>88</v>
      </c>
      <c r="F43" t="s">
        <v>120</v>
      </c>
      <c r="G43">
        <v>1954</v>
      </c>
      <c r="H43">
        <v>1954</v>
      </c>
      <c r="I43" t="s">
        <v>225</v>
      </c>
    </row>
    <row r="44" spans="1:9" x14ac:dyDescent="0.25">
      <c r="A44">
        <v>43</v>
      </c>
      <c r="B44" t="s">
        <v>89</v>
      </c>
      <c r="C44" t="s">
        <v>3</v>
      </c>
      <c r="D44">
        <v>1</v>
      </c>
      <c r="E44" t="s">
        <v>90</v>
      </c>
      <c r="F44" t="s">
        <v>120</v>
      </c>
      <c r="G44">
        <v>1958</v>
      </c>
      <c r="H44">
        <v>1958</v>
      </c>
      <c r="I44" t="s">
        <v>225</v>
      </c>
    </row>
    <row r="45" spans="1:9" x14ac:dyDescent="0.25">
      <c r="A45">
        <v>44</v>
      </c>
      <c r="B45" t="s">
        <v>91</v>
      </c>
      <c r="C45" t="s">
        <v>3</v>
      </c>
      <c r="D45">
        <v>0.5</v>
      </c>
      <c r="F45" t="s">
        <v>120</v>
      </c>
      <c r="G45">
        <v>2009</v>
      </c>
      <c r="H45">
        <v>2009</v>
      </c>
      <c r="I45" t="s">
        <v>225</v>
      </c>
    </row>
    <row r="46" spans="1:9" x14ac:dyDescent="0.25">
      <c r="A46">
        <v>45</v>
      </c>
      <c r="B46" t="s">
        <v>92</v>
      </c>
      <c r="C46" t="s">
        <v>3</v>
      </c>
      <c r="D46">
        <v>0.8</v>
      </c>
      <c r="F46" t="s">
        <v>120</v>
      </c>
      <c r="G46">
        <v>2009</v>
      </c>
      <c r="H46">
        <v>2009</v>
      </c>
      <c r="I46" t="s">
        <v>225</v>
      </c>
    </row>
    <row r="47" spans="1:9" x14ac:dyDescent="0.25">
      <c r="A47">
        <v>46</v>
      </c>
      <c r="B47" t="s">
        <v>93</v>
      </c>
      <c r="C47" t="s">
        <v>3</v>
      </c>
      <c r="D47">
        <v>1.6</v>
      </c>
      <c r="F47" t="s">
        <v>120</v>
      </c>
      <c r="G47">
        <v>2009</v>
      </c>
      <c r="H47">
        <v>2009</v>
      </c>
      <c r="I47" t="s">
        <v>225</v>
      </c>
    </row>
    <row r="48" spans="1:9" x14ac:dyDescent="0.25">
      <c r="A48">
        <v>47</v>
      </c>
      <c r="B48" t="s">
        <v>94</v>
      </c>
      <c r="C48" t="s">
        <v>3</v>
      </c>
      <c r="D48">
        <v>2.5</v>
      </c>
      <c r="F48" t="s">
        <v>120</v>
      </c>
      <c r="G48">
        <v>2009</v>
      </c>
      <c r="H48">
        <v>2009</v>
      </c>
      <c r="I48" t="s">
        <v>225</v>
      </c>
    </row>
    <row r="49" spans="1:9" x14ac:dyDescent="0.25">
      <c r="A49">
        <v>48</v>
      </c>
      <c r="B49" t="s">
        <v>95</v>
      </c>
      <c r="C49" t="s">
        <v>3</v>
      </c>
      <c r="D49">
        <v>0.2</v>
      </c>
      <c r="F49" t="s">
        <v>120</v>
      </c>
      <c r="G49">
        <v>2010</v>
      </c>
      <c r="H49">
        <v>2010</v>
      </c>
      <c r="I49" t="s">
        <v>225</v>
      </c>
    </row>
    <row r="50" spans="1:9" x14ac:dyDescent="0.25">
      <c r="A50">
        <v>49</v>
      </c>
      <c r="B50" t="s">
        <v>96</v>
      </c>
      <c r="C50" t="s">
        <v>3</v>
      </c>
      <c r="D50">
        <v>2.9</v>
      </c>
      <c r="E50" t="s">
        <v>97</v>
      </c>
      <c r="F50" t="s">
        <v>120</v>
      </c>
      <c r="G50" t="s">
        <v>98</v>
      </c>
      <c r="H50">
        <v>2015</v>
      </c>
      <c r="I50" t="s">
        <v>225</v>
      </c>
    </row>
    <row r="51" spans="1:9" x14ac:dyDescent="0.25">
      <c r="A51">
        <v>50</v>
      </c>
      <c r="B51" t="s">
        <v>99</v>
      </c>
      <c r="C51" t="s">
        <v>3</v>
      </c>
      <c r="D51">
        <v>2</v>
      </c>
      <c r="E51" t="s">
        <v>100</v>
      </c>
      <c r="F51" t="s">
        <v>120</v>
      </c>
      <c r="G51">
        <v>1953</v>
      </c>
      <c r="H51">
        <v>1953</v>
      </c>
      <c r="I51" t="s">
        <v>225</v>
      </c>
    </row>
    <row r="52" spans="1:9" x14ac:dyDescent="0.25">
      <c r="A52">
        <v>51</v>
      </c>
      <c r="B52" t="s">
        <v>101</v>
      </c>
      <c r="C52" t="s">
        <v>3</v>
      </c>
      <c r="D52">
        <v>5</v>
      </c>
      <c r="F52" t="s">
        <v>120</v>
      </c>
      <c r="G52">
        <v>2007</v>
      </c>
      <c r="H52">
        <v>2007</v>
      </c>
      <c r="I52" t="s">
        <v>225</v>
      </c>
    </row>
    <row r="53" spans="1:9" x14ac:dyDescent="0.25">
      <c r="A53">
        <v>52</v>
      </c>
      <c r="B53" t="s">
        <v>217</v>
      </c>
      <c r="C53" t="s">
        <v>3</v>
      </c>
      <c r="D53">
        <v>0.1</v>
      </c>
      <c r="F53" t="s">
        <v>120</v>
      </c>
      <c r="G53">
        <v>2011</v>
      </c>
      <c r="H53">
        <v>2011</v>
      </c>
      <c r="I53" t="s">
        <v>225</v>
      </c>
    </row>
    <row r="54" spans="1:9" x14ac:dyDescent="0.25">
      <c r="A54">
        <v>53</v>
      </c>
      <c r="B54" t="s">
        <v>192</v>
      </c>
      <c r="C54" t="s">
        <v>3</v>
      </c>
      <c r="D54">
        <v>6</v>
      </c>
      <c r="E54" t="s">
        <v>102</v>
      </c>
      <c r="F54" t="s">
        <v>120</v>
      </c>
      <c r="G54">
        <v>2012</v>
      </c>
      <c r="H54">
        <v>2012</v>
      </c>
      <c r="I54" t="s">
        <v>225</v>
      </c>
    </row>
    <row r="55" spans="1:9" x14ac:dyDescent="0.25">
      <c r="A55">
        <v>54</v>
      </c>
      <c r="B55" t="s">
        <v>103</v>
      </c>
      <c r="C55" t="s">
        <v>3</v>
      </c>
      <c r="D55">
        <v>0.3</v>
      </c>
      <c r="F55" t="s">
        <v>120</v>
      </c>
      <c r="G55">
        <v>2012</v>
      </c>
      <c r="H55">
        <v>2012</v>
      </c>
      <c r="I55" t="s">
        <v>225</v>
      </c>
    </row>
    <row r="56" spans="1:9" x14ac:dyDescent="0.25">
      <c r="A56">
        <v>55</v>
      </c>
      <c r="B56" t="s">
        <v>104</v>
      </c>
      <c r="C56" t="s">
        <v>3</v>
      </c>
      <c r="D56">
        <v>11</v>
      </c>
      <c r="E56" t="s">
        <v>105</v>
      </c>
      <c r="F56" t="s">
        <v>120</v>
      </c>
      <c r="G56">
        <v>2013</v>
      </c>
      <c r="H56">
        <v>2013</v>
      </c>
      <c r="I56" t="s">
        <v>225</v>
      </c>
    </row>
    <row r="57" spans="1:9" x14ac:dyDescent="0.25">
      <c r="A57">
        <v>56</v>
      </c>
      <c r="B57" t="s">
        <v>106</v>
      </c>
      <c r="C57" t="s">
        <v>3</v>
      </c>
      <c r="D57">
        <v>0.1</v>
      </c>
      <c r="F57" t="s">
        <v>120</v>
      </c>
      <c r="G57">
        <v>2013</v>
      </c>
      <c r="H57">
        <v>2013</v>
      </c>
      <c r="I57" t="s">
        <v>225</v>
      </c>
    </row>
    <row r="58" spans="1:9" x14ac:dyDescent="0.25">
      <c r="A58">
        <v>57</v>
      </c>
      <c r="B58" t="s">
        <v>193</v>
      </c>
      <c r="C58" t="s">
        <v>3</v>
      </c>
      <c r="D58">
        <v>6</v>
      </c>
      <c r="E58" t="s">
        <v>102</v>
      </c>
      <c r="F58" t="s">
        <v>120</v>
      </c>
      <c r="G58">
        <v>2013</v>
      </c>
      <c r="H58">
        <v>2013</v>
      </c>
      <c r="I58" t="s">
        <v>225</v>
      </c>
    </row>
    <row r="59" spans="1:9" x14ac:dyDescent="0.25">
      <c r="A59">
        <v>58</v>
      </c>
      <c r="B59" t="s">
        <v>107</v>
      </c>
      <c r="C59" t="s">
        <v>3</v>
      </c>
      <c r="D59">
        <v>5</v>
      </c>
      <c r="E59" t="s">
        <v>108</v>
      </c>
      <c r="F59" t="s">
        <v>120</v>
      </c>
      <c r="G59">
        <v>2013</v>
      </c>
      <c r="H59">
        <v>2013</v>
      </c>
      <c r="I59" t="s">
        <v>225</v>
      </c>
    </row>
    <row r="60" spans="1:9" x14ac:dyDescent="0.25">
      <c r="A60">
        <v>59</v>
      </c>
      <c r="B60" t="s">
        <v>72</v>
      </c>
      <c r="C60" t="s">
        <v>3</v>
      </c>
      <c r="D60">
        <v>6</v>
      </c>
      <c r="E60" t="s">
        <v>102</v>
      </c>
      <c r="F60" t="s">
        <v>120</v>
      </c>
      <c r="G60">
        <v>2014</v>
      </c>
      <c r="H60">
        <v>2014</v>
      </c>
      <c r="I60" t="s">
        <v>225</v>
      </c>
    </row>
    <row r="61" spans="1:9" x14ac:dyDescent="0.25">
      <c r="A61">
        <v>60</v>
      </c>
      <c r="B61" t="s">
        <v>109</v>
      </c>
      <c r="C61" t="s">
        <v>3</v>
      </c>
      <c r="D61">
        <v>10</v>
      </c>
      <c r="E61" t="s">
        <v>110</v>
      </c>
      <c r="F61" t="s">
        <v>120</v>
      </c>
      <c r="G61">
        <v>2013</v>
      </c>
      <c r="H61">
        <v>2013</v>
      </c>
      <c r="I61" t="s">
        <v>225</v>
      </c>
    </row>
    <row r="62" spans="1:9" x14ac:dyDescent="0.25">
      <c r="A62">
        <v>61</v>
      </c>
      <c r="B62" t="s">
        <v>111</v>
      </c>
      <c r="C62" t="s">
        <v>3</v>
      </c>
      <c r="D62">
        <v>0.4</v>
      </c>
      <c r="F62" t="s">
        <v>120</v>
      </c>
      <c r="G62">
        <v>2012</v>
      </c>
      <c r="H62">
        <v>2012</v>
      </c>
      <c r="I62" t="s">
        <v>225</v>
      </c>
    </row>
    <row r="63" spans="1:9" x14ac:dyDescent="0.25">
      <c r="A63">
        <v>62</v>
      </c>
      <c r="B63" t="s">
        <v>112</v>
      </c>
      <c r="C63" t="s">
        <v>3</v>
      </c>
      <c r="D63">
        <v>8.5</v>
      </c>
      <c r="E63" t="s">
        <v>113</v>
      </c>
      <c r="F63" t="s">
        <v>120</v>
      </c>
      <c r="G63">
        <v>2014</v>
      </c>
      <c r="H63">
        <v>2014</v>
      </c>
      <c r="I63" t="s">
        <v>225</v>
      </c>
    </row>
    <row r="64" spans="1:9" x14ac:dyDescent="0.25">
      <c r="A64">
        <v>63</v>
      </c>
      <c r="B64" t="s">
        <v>114</v>
      </c>
      <c r="C64" t="s">
        <v>3</v>
      </c>
      <c r="D64">
        <v>9.1</v>
      </c>
      <c r="E64" t="s">
        <v>47</v>
      </c>
      <c r="F64" t="s">
        <v>120</v>
      </c>
      <c r="G64">
        <v>2014</v>
      </c>
      <c r="H64">
        <v>2014</v>
      </c>
      <c r="I64" t="s">
        <v>225</v>
      </c>
    </row>
    <row r="65" spans="1:9" x14ac:dyDescent="0.25">
      <c r="A65">
        <v>64</v>
      </c>
      <c r="B65" t="s">
        <v>96</v>
      </c>
      <c r="C65" t="s">
        <v>3</v>
      </c>
      <c r="D65">
        <v>1.95</v>
      </c>
      <c r="F65" t="s">
        <v>120</v>
      </c>
      <c r="G65">
        <v>2015</v>
      </c>
      <c r="H65">
        <v>2015</v>
      </c>
      <c r="I65" t="s">
        <v>225</v>
      </c>
    </row>
    <row r="66" spans="1:9" x14ac:dyDescent="0.25">
      <c r="A66">
        <v>65</v>
      </c>
      <c r="B66" t="s">
        <v>115</v>
      </c>
      <c r="C66" t="s">
        <v>3</v>
      </c>
      <c r="D66">
        <v>2.5</v>
      </c>
      <c r="F66" t="s">
        <v>120</v>
      </c>
      <c r="G66">
        <v>2014</v>
      </c>
      <c r="H66">
        <v>2014</v>
      </c>
      <c r="I66" t="s">
        <v>225</v>
      </c>
    </row>
    <row r="67" spans="1:9" x14ac:dyDescent="0.25">
      <c r="A67">
        <v>66</v>
      </c>
      <c r="B67" t="s">
        <v>116</v>
      </c>
      <c r="C67" t="s">
        <v>3</v>
      </c>
      <c r="D67">
        <v>3.2</v>
      </c>
      <c r="E67" t="s">
        <v>84</v>
      </c>
      <c r="F67" t="s">
        <v>120</v>
      </c>
      <c r="G67">
        <v>2015</v>
      </c>
      <c r="H67">
        <v>2015</v>
      </c>
      <c r="I67" t="s">
        <v>225</v>
      </c>
    </row>
    <row r="68" spans="1:9" x14ac:dyDescent="0.25">
      <c r="A68">
        <v>67</v>
      </c>
      <c r="B68" t="s">
        <v>117</v>
      </c>
      <c r="C68" t="s">
        <v>3</v>
      </c>
      <c r="D68">
        <v>1.9</v>
      </c>
      <c r="E68" t="s">
        <v>118</v>
      </c>
      <c r="F68" t="s">
        <v>120</v>
      </c>
      <c r="G68">
        <v>2014</v>
      </c>
      <c r="H68">
        <v>2014</v>
      </c>
      <c r="I68" t="s">
        <v>225</v>
      </c>
    </row>
    <row r="69" spans="1:9" x14ac:dyDescent="0.25">
      <c r="A69">
        <v>68</v>
      </c>
      <c r="B69" t="s">
        <v>128</v>
      </c>
      <c r="C69" t="s">
        <v>3</v>
      </c>
      <c r="D69">
        <v>0.315</v>
      </c>
      <c r="E69" t="s">
        <v>129</v>
      </c>
      <c r="F69" t="s">
        <v>120</v>
      </c>
      <c r="G69">
        <v>2017</v>
      </c>
      <c r="H69">
        <v>2017</v>
      </c>
      <c r="I69" t="s">
        <v>225</v>
      </c>
    </row>
    <row r="70" spans="1:9" x14ac:dyDescent="0.25">
      <c r="A70">
        <v>69</v>
      </c>
      <c r="B70" t="s">
        <v>130</v>
      </c>
      <c r="C70" t="s">
        <v>3</v>
      </c>
      <c r="D70">
        <v>108</v>
      </c>
      <c r="E70" t="s">
        <v>131</v>
      </c>
      <c r="F70" t="s">
        <v>16</v>
      </c>
      <c r="G70">
        <v>2016</v>
      </c>
      <c r="H70">
        <v>2016</v>
      </c>
      <c r="I70" t="s">
        <v>225</v>
      </c>
    </row>
    <row r="71" spans="1:9" x14ac:dyDescent="0.25">
      <c r="A71">
        <v>70</v>
      </c>
      <c r="B71" t="s">
        <v>132</v>
      </c>
      <c r="C71" t="s">
        <v>3</v>
      </c>
      <c r="D71">
        <v>4.2</v>
      </c>
      <c r="E71" t="s">
        <v>133</v>
      </c>
      <c r="F71" t="s">
        <v>16</v>
      </c>
      <c r="G71">
        <v>2016</v>
      </c>
      <c r="H71">
        <v>2016</v>
      </c>
      <c r="I71" t="s">
        <v>225</v>
      </c>
    </row>
    <row r="72" spans="1:9" x14ac:dyDescent="0.25">
      <c r="A72">
        <v>71</v>
      </c>
      <c r="B72" t="s">
        <v>134</v>
      </c>
      <c r="C72" t="s">
        <v>3</v>
      </c>
      <c r="D72">
        <v>47.48</v>
      </c>
      <c r="E72" t="s">
        <v>194</v>
      </c>
      <c r="F72" t="s">
        <v>216</v>
      </c>
      <c r="G72">
        <v>2016</v>
      </c>
      <c r="H72">
        <v>2016</v>
      </c>
      <c r="I72" t="s">
        <v>225</v>
      </c>
    </row>
    <row r="73" spans="1:9" x14ac:dyDescent="0.25">
      <c r="A73">
        <v>72</v>
      </c>
      <c r="B73" t="s">
        <v>135</v>
      </c>
      <c r="C73" t="s">
        <v>3</v>
      </c>
      <c r="D73">
        <v>0.25</v>
      </c>
      <c r="E73" t="s">
        <v>136</v>
      </c>
      <c r="F73" t="s">
        <v>120</v>
      </c>
      <c r="G73">
        <v>2016</v>
      </c>
      <c r="H73">
        <v>2016</v>
      </c>
      <c r="I73" t="s">
        <v>225</v>
      </c>
    </row>
    <row r="74" spans="1:9" x14ac:dyDescent="0.25">
      <c r="A74">
        <v>73</v>
      </c>
      <c r="B74" t="s">
        <v>137</v>
      </c>
      <c r="C74" t="s">
        <v>3</v>
      </c>
      <c r="D74">
        <v>178.72</v>
      </c>
      <c r="E74" t="s">
        <v>138</v>
      </c>
      <c r="F74" t="s">
        <v>216</v>
      </c>
      <c r="G74">
        <v>2017</v>
      </c>
      <c r="H74">
        <v>2017</v>
      </c>
      <c r="I74" t="s">
        <v>225</v>
      </c>
    </row>
    <row r="75" spans="1:9" x14ac:dyDescent="0.25">
      <c r="A75">
        <v>74</v>
      </c>
      <c r="B75" t="s">
        <v>139</v>
      </c>
      <c r="C75" t="s">
        <v>3</v>
      </c>
      <c r="D75">
        <v>0.125</v>
      </c>
      <c r="E75" t="s">
        <v>140</v>
      </c>
      <c r="F75" t="s">
        <v>120</v>
      </c>
      <c r="G75">
        <v>2017</v>
      </c>
      <c r="H75">
        <v>2017</v>
      </c>
      <c r="I75" t="s">
        <v>225</v>
      </c>
    </row>
    <row r="76" spans="1:9" x14ac:dyDescent="0.25">
      <c r="A76">
        <v>75</v>
      </c>
      <c r="B76" t="s">
        <v>141</v>
      </c>
      <c r="C76" t="s">
        <v>3</v>
      </c>
      <c r="D76">
        <v>5.5</v>
      </c>
      <c r="E76" t="s">
        <v>142</v>
      </c>
      <c r="F76" t="s">
        <v>16</v>
      </c>
      <c r="G76">
        <v>2017</v>
      </c>
      <c r="H76">
        <v>2017</v>
      </c>
      <c r="I76" t="s">
        <v>225</v>
      </c>
    </row>
    <row r="77" spans="1:9" x14ac:dyDescent="0.25">
      <c r="A77">
        <v>76</v>
      </c>
      <c r="B77" t="s">
        <v>143</v>
      </c>
      <c r="C77" t="s">
        <v>3</v>
      </c>
      <c r="D77">
        <v>2</v>
      </c>
      <c r="E77" t="s">
        <v>144</v>
      </c>
      <c r="F77" t="s">
        <v>16</v>
      </c>
      <c r="G77">
        <v>2017</v>
      </c>
      <c r="H77">
        <v>2017</v>
      </c>
      <c r="I77" t="s">
        <v>225</v>
      </c>
    </row>
    <row r="78" spans="1:9" x14ac:dyDescent="0.25">
      <c r="A78">
        <v>77</v>
      </c>
      <c r="B78" t="s">
        <v>145</v>
      </c>
      <c r="C78" t="s">
        <v>3</v>
      </c>
      <c r="D78">
        <v>1.33</v>
      </c>
      <c r="E78" t="s">
        <v>146</v>
      </c>
      <c r="F78" t="s">
        <v>16</v>
      </c>
      <c r="G78">
        <v>2018</v>
      </c>
      <c r="H78">
        <v>2018</v>
      </c>
      <c r="I78" t="s">
        <v>225</v>
      </c>
    </row>
    <row r="79" spans="1:9" x14ac:dyDescent="0.25">
      <c r="A79">
        <v>78</v>
      </c>
      <c r="B79" t="s">
        <v>195</v>
      </c>
      <c r="C79" t="s">
        <v>3</v>
      </c>
      <c r="D79">
        <v>1.2</v>
      </c>
      <c r="E79" t="s">
        <v>147</v>
      </c>
      <c r="F79" t="s">
        <v>16</v>
      </c>
      <c r="G79">
        <v>2018</v>
      </c>
      <c r="H79">
        <v>2018</v>
      </c>
      <c r="I79" t="s">
        <v>225</v>
      </c>
    </row>
    <row r="80" spans="1:9" x14ac:dyDescent="0.25">
      <c r="A80">
        <v>79</v>
      </c>
      <c r="B80" t="s">
        <v>148</v>
      </c>
      <c r="C80" t="s">
        <v>3</v>
      </c>
      <c r="D80">
        <v>1.48</v>
      </c>
      <c r="E80" t="s">
        <v>149</v>
      </c>
      <c r="F80" t="s">
        <v>16</v>
      </c>
      <c r="G80">
        <v>2018</v>
      </c>
      <c r="H80">
        <v>2018</v>
      </c>
      <c r="I80" t="s">
        <v>225</v>
      </c>
    </row>
    <row r="81" spans="1:9" x14ac:dyDescent="0.25">
      <c r="A81">
        <v>80</v>
      </c>
      <c r="B81" t="s">
        <v>150</v>
      </c>
      <c r="C81" t="s">
        <v>3</v>
      </c>
      <c r="D81">
        <v>2.5</v>
      </c>
      <c r="E81" t="s">
        <v>151</v>
      </c>
      <c r="F81" t="s">
        <v>16</v>
      </c>
      <c r="G81">
        <v>2018</v>
      </c>
      <c r="H81">
        <v>2018</v>
      </c>
      <c r="I81" t="s">
        <v>225</v>
      </c>
    </row>
    <row r="82" spans="1:9" x14ac:dyDescent="0.25">
      <c r="A82">
        <v>81</v>
      </c>
      <c r="B82" t="s">
        <v>196</v>
      </c>
      <c r="C82" t="s">
        <v>3</v>
      </c>
      <c r="D82">
        <v>9.1</v>
      </c>
      <c r="E82" t="s">
        <v>152</v>
      </c>
      <c r="F82" t="s">
        <v>16</v>
      </c>
      <c r="G82">
        <v>2018</v>
      </c>
      <c r="H82">
        <v>2018</v>
      </c>
      <c r="I82" t="s">
        <v>225</v>
      </c>
    </row>
    <row r="83" spans="1:9" x14ac:dyDescent="0.25">
      <c r="A83">
        <v>82</v>
      </c>
      <c r="B83" t="s">
        <v>197</v>
      </c>
      <c r="C83" t="s">
        <v>3</v>
      </c>
      <c r="D83">
        <v>1.85</v>
      </c>
      <c r="E83" t="s">
        <v>153</v>
      </c>
      <c r="F83" t="s">
        <v>16</v>
      </c>
      <c r="G83">
        <v>2018</v>
      </c>
      <c r="H83">
        <v>2018</v>
      </c>
      <c r="I83" t="s">
        <v>225</v>
      </c>
    </row>
    <row r="84" spans="1:9" x14ac:dyDescent="0.25">
      <c r="A84">
        <v>83</v>
      </c>
      <c r="B84" t="s">
        <v>154</v>
      </c>
      <c r="C84" t="s">
        <v>3</v>
      </c>
      <c r="D84">
        <v>51.22</v>
      </c>
      <c r="E84" t="s">
        <v>155</v>
      </c>
      <c r="F84" t="s">
        <v>216</v>
      </c>
      <c r="G84">
        <v>2018</v>
      </c>
      <c r="H84">
        <v>2018</v>
      </c>
      <c r="I84" t="s">
        <v>225</v>
      </c>
    </row>
    <row r="85" spans="1:9" x14ac:dyDescent="0.25">
      <c r="A85">
        <v>84</v>
      </c>
      <c r="B85" t="s">
        <v>198</v>
      </c>
      <c r="C85" t="s">
        <v>3</v>
      </c>
      <c r="D85">
        <v>21.39</v>
      </c>
      <c r="E85" t="s">
        <v>156</v>
      </c>
      <c r="F85" t="s">
        <v>16</v>
      </c>
      <c r="G85">
        <v>2018</v>
      </c>
      <c r="H85">
        <v>2018</v>
      </c>
      <c r="I85" t="s">
        <v>225</v>
      </c>
    </row>
    <row r="86" spans="1:9" x14ac:dyDescent="0.25">
      <c r="A86">
        <v>85</v>
      </c>
      <c r="B86" t="s">
        <v>199</v>
      </c>
      <c r="C86" t="s">
        <v>3</v>
      </c>
      <c r="D86">
        <v>1.95</v>
      </c>
      <c r="E86" t="s">
        <v>157</v>
      </c>
      <c r="F86" t="s">
        <v>16</v>
      </c>
      <c r="G86">
        <v>2019</v>
      </c>
      <c r="H86">
        <v>2019</v>
      </c>
      <c r="I86" t="s">
        <v>225</v>
      </c>
    </row>
    <row r="87" spans="1:9" x14ac:dyDescent="0.25">
      <c r="A87">
        <v>86</v>
      </c>
      <c r="B87" t="s">
        <v>200</v>
      </c>
      <c r="C87" t="s">
        <v>3</v>
      </c>
      <c r="D87">
        <v>20</v>
      </c>
      <c r="E87" t="s">
        <v>158</v>
      </c>
      <c r="F87" t="s">
        <v>16</v>
      </c>
      <c r="G87">
        <v>2019</v>
      </c>
      <c r="H87">
        <v>2019</v>
      </c>
      <c r="I87" t="s">
        <v>225</v>
      </c>
    </row>
    <row r="88" spans="1:9" x14ac:dyDescent="0.25">
      <c r="A88">
        <v>87</v>
      </c>
      <c r="B88" t="s">
        <v>201</v>
      </c>
      <c r="C88" t="s">
        <v>3</v>
      </c>
      <c r="D88">
        <v>30</v>
      </c>
      <c r="E88" t="s">
        <v>159</v>
      </c>
      <c r="F88" t="s">
        <v>16</v>
      </c>
      <c r="G88">
        <v>2019</v>
      </c>
      <c r="H88">
        <v>2019</v>
      </c>
      <c r="I88" t="s">
        <v>225</v>
      </c>
    </row>
    <row r="89" spans="1:9" x14ac:dyDescent="0.25">
      <c r="A89">
        <v>88</v>
      </c>
      <c r="B89" t="s">
        <v>160</v>
      </c>
      <c r="C89" t="s">
        <v>3</v>
      </c>
      <c r="D89">
        <v>3.5</v>
      </c>
      <c r="E89" t="s">
        <v>161</v>
      </c>
      <c r="F89" t="s">
        <v>16</v>
      </c>
      <c r="G89">
        <v>2019</v>
      </c>
      <c r="H89">
        <v>2019</v>
      </c>
      <c r="I89" t="s">
        <v>225</v>
      </c>
    </row>
    <row r="90" spans="1:9" x14ac:dyDescent="0.25">
      <c r="A90">
        <v>89</v>
      </c>
      <c r="B90" t="s">
        <v>162</v>
      </c>
      <c r="C90" t="s">
        <v>3</v>
      </c>
      <c r="D90">
        <v>1.1200000000000001</v>
      </c>
      <c r="E90" t="s">
        <v>163</v>
      </c>
      <c r="F90" t="s">
        <v>16</v>
      </c>
      <c r="G90">
        <v>2019</v>
      </c>
      <c r="H90">
        <v>2019</v>
      </c>
      <c r="I90" t="s">
        <v>225</v>
      </c>
    </row>
    <row r="91" spans="1:9" x14ac:dyDescent="0.25">
      <c r="A91">
        <v>90</v>
      </c>
      <c r="B91" t="s">
        <v>164</v>
      </c>
      <c r="C91" t="s">
        <v>3</v>
      </c>
      <c r="D91">
        <v>0.43</v>
      </c>
      <c r="E91" t="s">
        <v>165</v>
      </c>
      <c r="F91" t="s">
        <v>16</v>
      </c>
      <c r="G91">
        <v>2020</v>
      </c>
      <c r="H91">
        <v>2020</v>
      </c>
      <c r="I91" t="s">
        <v>225</v>
      </c>
    </row>
    <row r="92" spans="1:9" x14ac:dyDescent="0.25">
      <c r="A92">
        <v>91</v>
      </c>
      <c r="B92" t="s">
        <v>166</v>
      </c>
      <c r="C92" t="s">
        <v>3</v>
      </c>
      <c r="D92">
        <v>3.38</v>
      </c>
      <c r="E92" t="s">
        <v>167</v>
      </c>
      <c r="F92" t="s">
        <v>16</v>
      </c>
      <c r="G92">
        <v>2020</v>
      </c>
      <c r="H92">
        <v>2020</v>
      </c>
      <c r="I92" t="s">
        <v>225</v>
      </c>
    </row>
    <row r="93" spans="1:9" x14ac:dyDescent="0.25">
      <c r="A93">
        <v>92</v>
      </c>
      <c r="B93" t="s">
        <v>168</v>
      </c>
      <c r="C93" t="s">
        <v>3</v>
      </c>
      <c r="D93">
        <v>2.98</v>
      </c>
      <c r="E93" t="s">
        <v>169</v>
      </c>
      <c r="F93" t="s">
        <v>16</v>
      </c>
      <c r="G93">
        <v>2020</v>
      </c>
      <c r="H93">
        <v>2020</v>
      </c>
      <c r="I93" t="s">
        <v>225</v>
      </c>
    </row>
    <row r="94" spans="1:9" x14ac:dyDescent="0.25">
      <c r="A94">
        <v>93</v>
      </c>
      <c r="B94" t="s">
        <v>170</v>
      </c>
      <c r="C94" t="s">
        <v>3</v>
      </c>
      <c r="D94">
        <v>0.81100000000000005</v>
      </c>
      <c r="E94" t="s">
        <v>171</v>
      </c>
      <c r="F94" t="s">
        <v>16</v>
      </c>
      <c r="G94">
        <v>2020</v>
      </c>
      <c r="H94">
        <v>2020</v>
      </c>
      <c r="I94" t="s">
        <v>225</v>
      </c>
    </row>
    <row r="95" spans="1:9" x14ac:dyDescent="0.25">
      <c r="A95">
        <v>94</v>
      </c>
      <c r="B95" t="s">
        <v>202</v>
      </c>
      <c r="C95" t="s">
        <v>3</v>
      </c>
      <c r="D95">
        <v>5</v>
      </c>
      <c r="E95" t="s">
        <v>172</v>
      </c>
      <c r="F95" t="s">
        <v>16</v>
      </c>
      <c r="G95">
        <v>2020</v>
      </c>
      <c r="H95">
        <v>2020</v>
      </c>
      <c r="I95" t="s">
        <v>225</v>
      </c>
    </row>
    <row r="96" spans="1:9" x14ac:dyDescent="0.25">
      <c r="A96">
        <v>95</v>
      </c>
      <c r="B96" t="s">
        <v>203</v>
      </c>
      <c r="C96" t="s">
        <v>3</v>
      </c>
      <c r="D96">
        <v>9.5</v>
      </c>
      <c r="F96" t="s">
        <v>16</v>
      </c>
      <c r="G96">
        <v>2020</v>
      </c>
      <c r="H96">
        <v>2020</v>
      </c>
      <c r="I96" t="s">
        <v>225</v>
      </c>
    </row>
    <row r="97" spans="1:9" x14ac:dyDescent="0.25">
      <c r="A97">
        <v>96</v>
      </c>
      <c r="B97" t="s">
        <v>204</v>
      </c>
      <c r="C97" t="s">
        <v>3</v>
      </c>
      <c r="D97">
        <v>7</v>
      </c>
      <c r="E97" t="s">
        <v>173</v>
      </c>
      <c r="F97" t="s">
        <v>16</v>
      </c>
      <c r="G97">
        <v>2020</v>
      </c>
      <c r="H97">
        <v>2020</v>
      </c>
      <c r="I97" t="s">
        <v>225</v>
      </c>
    </row>
    <row r="98" spans="1:9" x14ac:dyDescent="0.25">
      <c r="A98">
        <v>97</v>
      </c>
      <c r="B98" t="s">
        <v>205</v>
      </c>
      <c r="C98" t="s">
        <v>3</v>
      </c>
      <c r="D98">
        <v>7.5</v>
      </c>
      <c r="E98" t="s">
        <v>174</v>
      </c>
      <c r="F98" t="s">
        <v>16</v>
      </c>
      <c r="G98">
        <v>2021</v>
      </c>
      <c r="H98">
        <v>2021</v>
      </c>
      <c r="I98" t="s">
        <v>225</v>
      </c>
    </row>
    <row r="99" spans="1:9" x14ac:dyDescent="0.25">
      <c r="A99">
        <v>98</v>
      </c>
      <c r="B99" t="s">
        <v>175</v>
      </c>
      <c r="C99" t="s">
        <v>3</v>
      </c>
      <c r="D99">
        <v>9</v>
      </c>
      <c r="E99" t="s">
        <v>176</v>
      </c>
      <c r="F99" t="s">
        <v>16</v>
      </c>
      <c r="G99">
        <v>2021</v>
      </c>
      <c r="H99">
        <v>2021</v>
      </c>
      <c r="I99" t="s">
        <v>225</v>
      </c>
    </row>
    <row r="100" spans="1:9" x14ac:dyDescent="0.25">
      <c r="A100">
        <v>99</v>
      </c>
      <c r="B100" t="s">
        <v>206</v>
      </c>
      <c r="C100" t="s">
        <v>3</v>
      </c>
      <c r="D100">
        <v>0.6</v>
      </c>
      <c r="E100">
        <v>0.6</v>
      </c>
      <c r="F100" t="s">
        <v>16</v>
      </c>
      <c r="G100">
        <v>2021</v>
      </c>
      <c r="H100">
        <v>2021</v>
      </c>
      <c r="I100" t="s">
        <v>225</v>
      </c>
    </row>
    <row r="101" spans="1:9" x14ac:dyDescent="0.25">
      <c r="A101">
        <v>100</v>
      </c>
      <c r="B101" t="s">
        <v>177</v>
      </c>
      <c r="C101" t="s">
        <v>3</v>
      </c>
      <c r="D101">
        <v>2</v>
      </c>
      <c r="F101" t="s">
        <v>16</v>
      </c>
      <c r="G101">
        <v>2021</v>
      </c>
      <c r="H101">
        <v>2021</v>
      </c>
      <c r="I101" t="s">
        <v>225</v>
      </c>
    </row>
    <row r="102" spans="1:9" x14ac:dyDescent="0.25">
      <c r="A102">
        <v>101</v>
      </c>
      <c r="B102" t="s">
        <v>6</v>
      </c>
      <c r="C102" t="s">
        <v>3</v>
      </c>
      <c r="D102">
        <v>1.1299999999999999</v>
      </c>
      <c r="F102" t="s">
        <v>16</v>
      </c>
      <c r="G102">
        <v>2021</v>
      </c>
      <c r="H102">
        <v>2021</v>
      </c>
      <c r="I102" t="s">
        <v>225</v>
      </c>
    </row>
    <row r="103" spans="1:9" x14ac:dyDescent="0.25">
      <c r="A103">
        <v>102</v>
      </c>
      <c r="B103" t="s">
        <v>207</v>
      </c>
      <c r="C103" t="s">
        <v>3</v>
      </c>
      <c r="D103">
        <v>1.99</v>
      </c>
      <c r="F103" t="s">
        <v>16</v>
      </c>
      <c r="G103">
        <v>2021</v>
      </c>
      <c r="H103">
        <v>2021</v>
      </c>
      <c r="I103" t="s">
        <v>225</v>
      </c>
    </row>
    <row r="104" spans="1:9" x14ac:dyDescent="0.25">
      <c r="A104">
        <v>103</v>
      </c>
      <c r="B104" t="s">
        <v>208</v>
      </c>
      <c r="C104" t="s">
        <v>3</v>
      </c>
      <c r="D104">
        <v>1</v>
      </c>
      <c r="F104" t="s">
        <v>16</v>
      </c>
      <c r="G104">
        <v>2021</v>
      </c>
      <c r="H104">
        <v>2021</v>
      </c>
      <c r="I104" t="s">
        <v>225</v>
      </c>
    </row>
    <row r="105" spans="1:9" x14ac:dyDescent="0.25">
      <c r="A105">
        <v>104</v>
      </c>
      <c r="B105" t="s">
        <v>178</v>
      </c>
      <c r="C105" t="s">
        <v>3</v>
      </c>
      <c r="D105">
        <v>0.6</v>
      </c>
      <c r="E105" t="s">
        <v>179</v>
      </c>
      <c r="F105" t="s">
        <v>16</v>
      </c>
      <c r="G105">
        <v>2021</v>
      </c>
      <c r="H105">
        <v>2021</v>
      </c>
      <c r="I105" t="s">
        <v>225</v>
      </c>
    </row>
    <row r="106" spans="1:9" x14ac:dyDescent="0.25">
      <c r="A106">
        <v>105</v>
      </c>
      <c r="B106" t="s">
        <v>210</v>
      </c>
      <c r="C106" t="s">
        <v>185</v>
      </c>
      <c r="D106">
        <v>300</v>
      </c>
      <c r="E106" t="s">
        <v>180</v>
      </c>
      <c r="F106" t="s">
        <v>181</v>
      </c>
      <c r="G106">
        <v>1991</v>
      </c>
      <c r="H106">
        <v>1991</v>
      </c>
      <c r="I106" t="s">
        <v>224</v>
      </c>
    </row>
    <row r="107" spans="1:9" x14ac:dyDescent="0.25">
      <c r="A107">
        <v>106</v>
      </c>
      <c r="B107" t="s">
        <v>211</v>
      </c>
      <c r="C107" t="s">
        <v>185</v>
      </c>
      <c r="D107">
        <v>272</v>
      </c>
      <c r="E107" t="s">
        <v>182</v>
      </c>
      <c r="F107" t="s">
        <v>181</v>
      </c>
      <c r="G107">
        <v>1963</v>
      </c>
      <c r="H107">
        <v>1963</v>
      </c>
      <c r="I107" t="s">
        <v>224</v>
      </c>
    </row>
    <row r="108" spans="1:9" x14ac:dyDescent="0.25">
      <c r="A108">
        <v>107</v>
      </c>
      <c r="B108" t="s">
        <v>212</v>
      </c>
      <c r="C108" t="s">
        <v>213</v>
      </c>
      <c r="D108">
        <v>110</v>
      </c>
      <c r="E108" t="s">
        <v>7</v>
      </c>
      <c r="F108" t="s">
        <v>181</v>
      </c>
      <c r="G108">
        <v>2006</v>
      </c>
      <c r="H108">
        <v>2006</v>
      </c>
      <c r="I108" t="s">
        <v>225</v>
      </c>
    </row>
    <row r="109" spans="1:9" x14ac:dyDescent="0.25">
      <c r="A109">
        <v>108</v>
      </c>
      <c r="B109" t="s">
        <v>209</v>
      </c>
      <c r="C109" t="s">
        <v>183</v>
      </c>
      <c r="D109">
        <v>13</v>
      </c>
      <c r="E109" t="s">
        <v>35</v>
      </c>
      <c r="F109" t="s">
        <v>181</v>
      </c>
      <c r="G109">
        <v>2011</v>
      </c>
      <c r="H109">
        <v>2011</v>
      </c>
      <c r="I109" t="s">
        <v>225</v>
      </c>
    </row>
    <row r="110" spans="1:9" x14ac:dyDescent="0.25">
      <c r="A110">
        <v>109</v>
      </c>
      <c r="B110" t="s">
        <v>184</v>
      </c>
      <c r="C110" t="s">
        <v>185</v>
      </c>
      <c r="D110">
        <v>230</v>
      </c>
      <c r="E110" t="s">
        <v>186</v>
      </c>
      <c r="F110" t="s">
        <v>181</v>
      </c>
      <c r="G110">
        <v>2015</v>
      </c>
      <c r="H110">
        <v>2015</v>
      </c>
      <c r="I110" t="s">
        <v>224</v>
      </c>
    </row>
    <row r="111" spans="1:9" x14ac:dyDescent="0.25">
      <c r="A111">
        <v>110</v>
      </c>
      <c r="B111" t="s">
        <v>191</v>
      </c>
      <c r="C111" t="s">
        <v>181</v>
      </c>
      <c r="D111">
        <v>9.1</v>
      </c>
      <c r="E111">
        <v>9.1</v>
      </c>
      <c r="F111" t="s">
        <v>181</v>
      </c>
      <c r="G111">
        <v>2020</v>
      </c>
      <c r="H111">
        <v>2020</v>
      </c>
      <c r="I111" t="s">
        <v>224</v>
      </c>
    </row>
    <row r="112" spans="1:9" x14ac:dyDescent="0.25">
      <c r="A112">
        <v>111</v>
      </c>
      <c r="B112" t="s">
        <v>190</v>
      </c>
      <c r="C112" t="s">
        <v>185</v>
      </c>
      <c r="D112">
        <v>255</v>
      </c>
      <c r="E112" t="s">
        <v>187</v>
      </c>
      <c r="F112" t="s">
        <v>181</v>
      </c>
      <c r="G112">
        <v>2020</v>
      </c>
      <c r="H112">
        <v>2020</v>
      </c>
      <c r="I112" t="s">
        <v>224</v>
      </c>
    </row>
    <row r="113" spans="1:9" x14ac:dyDescent="0.25">
      <c r="A113">
        <v>112</v>
      </c>
      <c r="B113" t="s">
        <v>214</v>
      </c>
      <c r="C113" t="s">
        <v>188</v>
      </c>
      <c r="D113">
        <v>20.7</v>
      </c>
      <c r="E113" t="s">
        <v>189</v>
      </c>
      <c r="F113" t="s">
        <v>188</v>
      </c>
      <c r="G113">
        <v>2016</v>
      </c>
      <c r="H113">
        <v>2016</v>
      </c>
      <c r="I113" t="s">
        <v>225</v>
      </c>
    </row>
  </sheetData>
  <autoFilter ref="A1:R113" xr:uid="{F7F7724D-201D-41C8-A401-C98C65278C57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ECF8-ED24-448F-A8CC-C8E31FD0DAD9}">
  <dimension ref="A1"/>
  <sheetViews>
    <sheetView workbookViewId="0">
      <selection activeCell="P13" sqref="P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Installed Capacity</vt:lpstr>
      <vt:lpstr>Pivot</vt:lpstr>
      <vt:lpstr>Power Plant List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Joern Huenteler</dc:creator>
  <cp:lastModifiedBy>Joern Huenteler</cp:lastModifiedBy>
  <dcterms:created xsi:type="dcterms:W3CDTF">2022-12-07T08:51:16Z</dcterms:created>
  <dcterms:modified xsi:type="dcterms:W3CDTF">2024-06-15T04:43:46Z</dcterms:modified>
</cp:coreProperties>
</file>